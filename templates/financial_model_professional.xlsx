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shboard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Financial Model" sheetId="3" state="visible" r:id="rId3"/>
    <sheet xmlns:r="http://schemas.openxmlformats.org/officeDocument/2006/relationships" name="Investor Review" sheetId="4" state="visible" r:id="rId4"/>
    <sheet xmlns:r="http://schemas.openxmlformats.org/officeDocument/2006/relationships" name="Benchmark Feedback" sheetId="5" state="visible" r:id="rId5"/>
    <sheet xmlns:r="http://schemas.openxmlformats.org/officeDocument/2006/relationships" name="Reality Engine" sheetId="6" state="visible" r:id="rId6"/>
    <sheet xmlns:r="http://schemas.openxmlformats.org/officeDocument/2006/relationships" name="Methodology" sheetId="7" state="visible" r:id="rId7"/>
  </sheets>
  <definedNames>
    <definedName name="_xlnm.Print_Area" localSheetId="0">'Dashboard'!$A$1:$I$32</definedName>
    <definedName name="_xlnm.Print_Area" localSheetId="1">'Assumptions'!$A$1:$E$20</definedName>
    <definedName name="_xlnm.Print_Area" localSheetId="2">'Financial Model'!$A$1:$D$37</definedName>
    <definedName name="_xlnm.Print_Area" localSheetId="3">'Investor Review'!$A$1:$E$19</definedName>
    <definedName name="_xlnm.Print_Area" localSheetId="4">'Benchmark Feedback'!$A$1:$D$11</definedName>
    <definedName name="_xlnm.Print_Area" localSheetId="5">'Reality Engine'!$A$1:$C$12</definedName>
  </definedNames>
</workbook>
</file>

<file path=xl/styles.xml><?xml version="1.0" encoding="utf-8"?>
<styleSheet xmlns="http://schemas.openxmlformats.org/spreadsheetml/2006/main">
  <numFmts count="4">
    <numFmt numFmtId="164" formatCode="$#,##0;[Red]($#,##0);-"/>
    <numFmt numFmtId="165" formatCode="#,##0;[Red](#,##0);-"/>
    <numFmt numFmtId="166" formatCode="0.0%;[Red](0.0%);-"/>
    <numFmt numFmtId="167" formatCode="$#,##0.00 &quot; / unit&quot;;[Red]($#,##0.00 &quot; / unit&quot;);-"/>
  </numFmts>
  <fonts count="39">
    <font>
      <name val="Carlito"/>
      <sz val="11"/>
    </font>
    <font>
      <name val="Carlito"/>
      <b val="1"/>
      <color rgb="FFFFFFFF"/>
      <sz val="16"/>
    </font>
    <font>
      <name val="Carlito"/>
      <i val="1"/>
      <color rgb="FF666666"/>
      <sz val="10"/>
    </font>
    <font>
      <name val="Carlito"/>
      <b val="1"/>
      <color rgb="FFFFFFFF"/>
      <sz val="11"/>
    </font>
    <font>
      <name val="Carlito"/>
      <b val="1"/>
      <sz val="11"/>
    </font>
    <font>
      <name val="Carlito"/>
      <color rgb="FF0000FF"/>
      <sz val="11"/>
    </font>
    <font>
      <name val="Carlito"/>
      <b val="1"/>
      <color rgb="FF0000FF"/>
      <sz val="11"/>
    </font>
    <font>
      <name val="Carlito"/>
      <b val="1"/>
      <color rgb="FF000000"/>
      <sz val="11"/>
    </font>
    <font>
      <name val="Carlito"/>
      <b val="1"/>
      <color rgb="FF17365D"/>
      <sz val="11"/>
    </font>
    <font>
      <name val="Carlito"/>
      <sz val="11"/>
    </font>
    <font>
      <name val="Carlito"/>
      <color rgb="FF17365D"/>
      <sz val="11"/>
    </font>
    <font>
      <name val="Carlito"/>
      <color rgb="FF008000"/>
      <sz val="11"/>
    </font>
    <font>
      <name val="Carlito"/>
      <color rgb="FF000000"/>
      <sz val="11"/>
    </font>
    <font>
      <name val="Carlito"/>
      <color rgb="FFFFFFFF"/>
      <sz val="11"/>
    </font>
    <font>
      <name val="Carlito"/>
      <b val="1"/>
      <color rgb="FF008000"/>
      <sz val="11"/>
    </font>
    <font>
      <name val="Aptos"/>
      <b val="1"/>
      <color rgb="FFFFFFFF"/>
      <sz val="10"/>
    </font>
    <font>
      <name val="Aptos"/>
      <sz val="10"/>
    </font>
    <font>
      <name val="Aptos"/>
      <i val="1"/>
      <color rgb="FF666666"/>
      <sz val="10"/>
    </font>
    <font>
      <name val="Aptos"/>
      <color rgb="FFFFFFFF"/>
      <sz val="10"/>
    </font>
    <font>
      <name val="Aptos"/>
      <b val="1"/>
      <sz val="10"/>
    </font>
    <font>
      <name val="Aptos"/>
      <color rgb="FF008000"/>
      <sz val="10"/>
    </font>
    <font>
      <name val="Aptos"/>
      <b val="1"/>
      <color rgb="FF000000"/>
      <sz val="10"/>
    </font>
    <font>
      <name val="Aptos"/>
      <sz val="10"/>
    </font>
    <font>
      <name val="Aptos"/>
      <color rgb="FF0000FF"/>
      <sz val="10"/>
    </font>
    <font>
      <name val="Aptos"/>
      <b val="1"/>
      <color rgb="FF0000FF"/>
      <sz val="10"/>
    </font>
    <font>
      <name val="Aptos"/>
      <color rgb="FF000000"/>
      <sz val="10"/>
    </font>
    <font>
      <name val="Aptos"/>
      <b val="1"/>
      <color rgb="FF17365D"/>
      <sz val="10"/>
    </font>
    <font>
      <name val="Aptos"/>
      <b val="1"/>
      <color rgb="FF008000"/>
      <sz val="10"/>
    </font>
    <font>
      <name val="Aptos"/>
      <b val="1"/>
      <color rgb="FFFFFFFF"/>
      <sz val="16"/>
    </font>
    <font>
      <name val="Aptos"/>
      <color rgb="FF008000"/>
      <sz val="9"/>
    </font>
    <font>
      <name val="Aptos"/>
      <color rgb="00008000"/>
      <sz val="10"/>
    </font>
    <font>
      <name val="Aptos"/>
      <color rgb="00000000"/>
      <sz val="10"/>
    </font>
    <font>
      <name val="Aptos"/>
      <b val="1"/>
      <color rgb="00006100"/>
      <sz val="10"/>
    </font>
    <font>
      <name val="Aptos"/>
      <b val="1"/>
      <color rgb="007F6000"/>
      <sz val="10"/>
    </font>
    <font>
      <name val="Aptos"/>
      <b val="1"/>
      <color rgb="009C0006"/>
      <sz val="10"/>
    </font>
    <font>
      <name val="Aptos"/>
      <color rgb="001F1F1F"/>
      <sz val="10"/>
    </font>
    <font>
      <name val="Aptos"/>
      <b val="1"/>
      <color rgb="001F1F1F"/>
      <sz val="10"/>
    </font>
    <font>
      <name val="Aptos"/>
      <b val="1"/>
      <color rgb="00C65911"/>
      <sz val="10"/>
    </font>
    <font>
      <name val="Aptos"/>
      <b val="1"/>
      <color rgb="001F4E78"/>
      <sz val="10"/>
    </font>
  </fonts>
  <fills count="18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F3F6F8"/>
      </patternFill>
    </fill>
    <fill>
      <patternFill patternType="solid">
        <fgColor rgb="FFFFF2CC"/>
      </patternFill>
    </fill>
    <fill>
      <patternFill patternType="solid">
        <fgColor rgb="FFD9EAF7"/>
      </patternFill>
    </fill>
    <fill>
      <patternFill patternType="solid">
        <fgColor rgb="FFE7E6E6"/>
      </patternFill>
    </fill>
    <fill>
      <patternFill patternType="solid">
        <fgColor rgb="FF70AD47"/>
      </patternFill>
    </fill>
    <fill>
      <patternFill patternType="solid">
        <fgColor rgb="FFC00000"/>
      </patternFill>
    </fill>
    <fill>
      <patternFill patternType="solid">
        <fgColor rgb="FFFFFFFF"/>
      </patternFill>
    </fill>
    <fill>
      <patternFill patternType="solid">
        <fgColor rgb="FFFFC000"/>
      </patternFill>
    </fill>
    <fill>
      <patternFill patternType="solid">
        <fgColor rgb="FFF4B183"/>
      </patternFill>
    </fill>
    <fill>
      <patternFill patternType="solid">
        <fgColor rgb="FF5B9BD5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FCE4D6"/>
      </patternFill>
    </fill>
    <fill>
      <patternFill patternType="solid">
        <fgColor rgb="00D9EAF7"/>
      </patternFill>
    </fill>
  </fills>
  <borders count="20">
    <border/>
    <border/>
    <border>
      <left style="thin">
        <color rgb="FFBFBFBF"/>
      </left>
      <top style="thin">
        <color rgb="FFBFBFBF"/>
      </top>
    </border>
    <border>
      <top style="thin">
        <color rgb="FFBFBFBF"/>
      </top>
    </border>
    <border>
      <right style="thin">
        <color rgb="FFBFBFBF"/>
      </right>
      <top style="thin">
        <color rgb="FFBFBFBF"/>
      </top>
    </border>
    <border>
      <left style="thin">
        <color rgb="FFBFBFBF"/>
      </left>
    </border>
    <border>
      <right style="thin">
        <color rgb="FFBFBFBF"/>
      </right>
    </border>
    <border>
      <left style="thin">
        <color rgb="FFBFBFBF"/>
      </left>
      <bottom style="thin">
        <color rgb="FFBFBFBF"/>
      </bottom>
    </border>
    <border>
      <bottom style="thin">
        <color rgb="FFBFBFBF"/>
      </bottom>
    </border>
    <border>
      <right style="thin">
        <color rgb="FFBFBFBF"/>
      </right>
      <bottom style="thin">
        <color rgb="FFBFBFBF"/>
      </bottom>
    </border>
    <border>
      <left style="thin">
        <color rgb="FFBFBFBF"/>
      </left>
      <top style="thin">
        <color rgb="FFBFBFBF"/>
      </top>
    </border>
    <border>
      <top style="thin">
        <color rgb="FFBFBFBF"/>
      </top>
    </border>
    <border>
      <right style="thin">
        <color rgb="FFBFBFBF"/>
      </right>
      <top style="thin">
        <color rgb="FFBFBFBF"/>
      </top>
    </border>
    <border>
      <left style="thin">
        <color rgb="FFBFBFBF"/>
      </left>
    </border>
    <border>
      <right style="thin">
        <color rgb="FFBFBFBF"/>
      </right>
    </border>
    <border>
      <left style="thin">
        <color rgb="FFBFBFBF"/>
      </left>
      <bottom style="thin">
        <color rgb="FFBFBFBF"/>
      </bottom>
    </border>
    <border>
      <bottom style="thin">
        <color rgb="FFBFBFBF"/>
      </bottom>
    </border>
    <border>
      <right style="thin">
        <color rgb="FFBFBFBF"/>
      </right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</border>
    <border>
      <left style="thin">
        <color rgb="FFBFBFBF"/>
      </left>
      <right style="thin">
        <color rgb="FFBFBFBF"/>
      </right>
    </border>
  </borders>
  <cellStyleXfs count="1">
    <xf numFmtId="0" fontId="9" fillId="0" borderId="1"/>
  </cellStyleXfs>
  <cellXfs count="70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0" fillId="2" borderId="1" pivotButton="0" quotePrefix="0" xfId="0"/>
    <xf numFmtId="0" fontId="1" fillId="2" borderId="0" pivotButton="0" quotePrefix="0" xfId="0"/>
    <xf numFmtId="0" fontId="1" fillId="2" borderId="1" pivotButton="0" quotePrefix="0" xfId="0"/>
    <xf numFmtId="0" fontId="1" fillId="2" borderId="0" applyAlignment="1" pivotButton="0" quotePrefix="0" xfId="0">
      <alignment horizontal="left"/>
    </xf>
    <xf numFmtId="0" fontId="1" fillId="2" borderId="1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0" fillId="3" borderId="1" pivotButton="0" quotePrefix="0" xfId="0"/>
    <xf numFmtId="0" fontId="2" fillId="3" borderId="0" pivotButton="0" quotePrefix="0" xfId="0"/>
    <xf numFmtId="0" fontId="2" fillId="3" borderId="1" pivotButton="0" quotePrefix="0" xfId="0"/>
    <xf numFmtId="0" fontId="3" fillId="2" borderId="0" pivotButton="0" quotePrefix="0" xfId="0"/>
    <xf numFmtId="0" fontId="3" fillId="2" borderId="1" pivotButton="0" quotePrefix="0" xfId="0"/>
    <xf numFmtId="0" fontId="4" fillId="0" borderId="0" pivotButton="0" quotePrefix="0" xfId="0"/>
    <xf numFmtId="0" fontId="4" fillId="0" borderId="1" pivotButton="0" quotePrefix="0" xfId="0"/>
    <xf numFmtId="0" fontId="5" fillId="0" borderId="0" pivotButton="0" quotePrefix="0" xfId="0"/>
    <xf numFmtId="0" fontId="5" fillId="0" borderId="1" pivotButton="0" quotePrefix="0" xfId="0"/>
    <xf numFmtId="0" fontId="5" fillId="4" borderId="0" pivotButton="0" quotePrefix="0" xfId="0"/>
    <xf numFmtId="0" fontId="5" fillId="4" borderId="1" pivotButton="0" quotePrefix="0" xfId="0"/>
    <xf numFmtId="0" fontId="6" fillId="4" borderId="0" pivotButton="0" quotePrefix="0" xfId="0"/>
    <xf numFmtId="0" fontId="6" fillId="4" borderId="1" pivotButton="0" quotePrefix="0" xfId="0"/>
    <xf numFmtId="164" fontId="6" fillId="4" borderId="0" pivotButton="0" quotePrefix="0" xfId="0"/>
    <xf numFmtId="164" fontId="6" fillId="4" borderId="1" pivotButton="0" quotePrefix="0" xfId="0"/>
    <xf numFmtId="165" fontId="6" fillId="4" borderId="0" pivotButton="0" quotePrefix="0" xfId="0"/>
    <xf numFmtId="165" fontId="6" fillId="4" borderId="1" pivotButton="0" quotePrefix="0" xfId="0"/>
    <xf numFmtId="166" fontId="6" fillId="4" borderId="0" pivotButton="0" quotePrefix="0" xfId="0"/>
    <xf numFmtId="166" fontId="6" fillId="4" borderId="1" pivotButton="0" quotePrefix="0" xfId="0"/>
    <xf numFmtId="0" fontId="3" fillId="2" borderId="2" pivotButton="0" quotePrefix="0" xfId="0"/>
    <xf numFmtId="0" fontId="3" fillId="2" borderId="3" pivotButton="0" quotePrefix="0" xfId="0"/>
    <xf numFmtId="0" fontId="3" fillId="2" borderId="4" pivotButton="0" quotePrefix="0" xfId="0"/>
    <xf numFmtId="0" fontId="4" fillId="0" borderId="5" pivotButton="0" quotePrefix="0" xfId="0"/>
    <xf numFmtId="0" fontId="0" fillId="0" borderId="0" pivotButton="0" quotePrefix="0" xfId="0"/>
    <xf numFmtId="0" fontId="0" fillId="0" borderId="6" pivotButton="0" quotePrefix="0" xfId="0"/>
    <xf numFmtId="0" fontId="4" fillId="0" borderId="7" pivotButton="0" quotePrefix="0" xfId="0"/>
    <xf numFmtId="0" fontId="5" fillId="0" borderId="8" pivotButton="0" quotePrefix="0" xfId="0"/>
    <xf numFmtId="0" fontId="0" fillId="0" borderId="8" pivotButton="0" quotePrefix="0" xfId="0"/>
    <xf numFmtId="0" fontId="0" fillId="0" borderId="9" pivotButton="0" quotePrefix="0" xfId="0"/>
    <xf numFmtId="0" fontId="3" fillId="2" borderId="10" pivotButton="0" quotePrefix="0" xfId="0"/>
    <xf numFmtId="0" fontId="3" fillId="2" borderId="11" pivotButton="0" quotePrefix="0" xfId="0"/>
    <xf numFmtId="0" fontId="3" fillId="2" borderId="12" pivotButton="0" quotePrefix="0" xfId="0"/>
    <xf numFmtId="0" fontId="4" fillId="0" borderId="13" pivotButton="0" quotePrefix="0" xfId="0"/>
    <xf numFmtId="0" fontId="0" fillId="0" borderId="14" pivotButton="0" quotePrefix="0" xfId="0"/>
    <xf numFmtId="0" fontId="4" fillId="0" borderId="15" pivotButton="0" quotePrefix="0" xfId="0"/>
    <xf numFmtId="0" fontId="5" fillId="0" borderId="16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0" applyAlignment="1" pivotButton="0" quotePrefix="0" xfId="0">
      <alignment wrapText="1"/>
    </xf>
    <xf numFmtId="0" fontId="0" fillId="0" borderId="6" applyAlignment="1" pivotButton="0" quotePrefix="0" xfId="0">
      <alignment wrapText="1"/>
    </xf>
    <xf numFmtId="0" fontId="0" fillId="0" borderId="8" applyAlignment="1" pivotButton="0" quotePrefix="0" xfId="0">
      <alignment wrapText="1"/>
    </xf>
    <xf numFmtId="0" fontId="0" fillId="0" borderId="9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14" applyAlignment="1" pivotButton="0" quotePrefix="0" xfId="0">
      <alignment wrapText="1"/>
    </xf>
    <xf numFmtId="0" fontId="0" fillId="0" borderId="16" applyAlignment="1" pivotButton="0" quotePrefix="0" xfId="0">
      <alignment wrapText="1"/>
    </xf>
    <xf numFmtId="0" fontId="0" fillId="0" borderId="17" applyAlignment="1" pivotButton="0" quotePrefix="0" xfId="0">
      <alignment wrapText="1"/>
    </xf>
    <xf numFmtId="0" fontId="5" fillId="0" borderId="0" applyAlignment="1" pivotButton="0" quotePrefix="0" xfId="0">
      <alignment wrapText="1"/>
    </xf>
    <xf numFmtId="0" fontId="5" fillId="0" borderId="1" applyAlignment="1" pivotButton="0" quotePrefix="0" xfId="0">
      <alignment wrapText="1"/>
    </xf>
    <xf numFmtId="0" fontId="1" fillId="2" borderId="0" applyAlignment="1" pivotButton="0" quotePrefix="0" xfId="0">
      <alignment horizontal="left" vertical="top"/>
    </xf>
    <xf numFmtId="0" fontId="2" fillId="3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3" fillId="2" borderId="2" applyAlignment="1" pivotButton="0" quotePrefix="0" xfId="0">
      <alignment vertical="top"/>
    </xf>
    <xf numFmtId="0" fontId="3" fillId="2" borderId="3" applyAlignment="1" pivotButton="0" quotePrefix="0" xfId="0">
      <alignment vertical="top"/>
    </xf>
    <xf numFmtId="0" fontId="3" fillId="2" borderId="4" applyAlignment="1" pivotButton="0" quotePrefix="0" xfId="0">
      <alignment vertical="top"/>
    </xf>
    <xf numFmtId="0" fontId="4" fillId="0" borderId="5" applyAlignment="1" pivotButton="0" quotePrefix="0" xfId="0">
      <alignment vertical="top"/>
    </xf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6" applyAlignment="1" pivotButton="0" quotePrefix="0" xfId="0">
      <alignment vertical="top" wrapText="1"/>
    </xf>
    <xf numFmtId="0" fontId="5" fillId="0" borderId="0" applyAlignment="1" pivotButton="0" quotePrefix="0" xfId="0">
      <alignment vertical="top"/>
    </xf>
    <xf numFmtId="164" fontId="6" fillId="4" borderId="0" applyAlignment="1" pivotButton="0" quotePrefix="0" xfId="0">
      <alignment vertical="top"/>
    </xf>
    <xf numFmtId="165" fontId="6" fillId="4" borderId="0" applyAlignment="1" pivotButton="0" quotePrefix="0" xfId="0">
      <alignment vertical="top"/>
    </xf>
    <xf numFmtId="166" fontId="6" fillId="4" borderId="0" applyAlignment="1" pivotButton="0" quotePrefix="0" xfId="0">
      <alignment vertical="top"/>
    </xf>
    <xf numFmtId="0" fontId="4" fillId="0" borderId="7" applyAlignment="1" pivotButton="0" quotePrefix="0" xfId="0">
      <alignment vertical="top"/>
    </xf>
    <xf numFmtId="0" fontId="5" fillId="0" borderId="8" applyAlignment="1" pivotButton="0" quotePrefix="0" xfId="0">
      <alignment vertical="top"/>
    </xf>
    <xf numFmtId="0" fontId="0" fillId="0" borderId="8" applyAlignment="1" pivotButton="0" quotePrefix="0" xfId="0">
      <alignment vertical="top"/>
    </xf>
    <xf numFmtId="0" fontId="0" fillId="0" borderId="8" applyAlignment="1" pivotButton="0" quotePrefix="0" xfId="0">
      <alignment vertical="top" wrapText="1"/>
    </xf>
    <xf numFmtId="0" fontId="0" fillId="0" borderId="9" applyAlignment="1" pivotButton="0" quotePrefix="0" xfId="0">
      <alignment vertical="top" wrapText="1"/>
    </xf>
    <xf numFmtId="0" fontId="1" fillId="2" borderId="1" applyAlignment="1" pivotButton="0" quotePrefix="0" xfId="0">
      <alignment horizontal="left" vertical="top"/>
    </xf>
    <xf numFmtId="0" fontId="2" fillId="3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3" fillId="2" borderId="10" applyAlignment="1" pivotButton="0" quotePrefix="0" xfId="0">
      <alignment vertical="top"/>
    </xf>
    <xf numFmtId="0" fontId="3" fillId="2" borderId="11" applyAlignment="1" pivotButton="0" quotePrefix="0" xfId="0">
      <alignment vertical="top"/>
    </xf>
    <xf numFmtId="0" fontId="3" fillId="2" borderId="12" applyAlignment="1" pivotButton="0" quotePrefix="0" xfId="0">
      <alignment vertical="top"/>
    </xf>
    <xf numFmtId="0" fontId="4" fillId="0" borderId="13" applyAlignment="1" pivotButton="0" quotePrefix="0" xfId="0">
      <alignment vertical="top"/>
    </xf>
    <xf numFmtId="0" fontId="5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0" borderId="14" applyAlignment="1" pivotButton="0" quotePrefix="0" xfId="0">
      <alignment vertical="top" wrapText="1"/>
    </xf>
    <xf numFmtId="0" fontId="5" fillId="0" borderId="1" applyAlignment="1" pivotButton="0" quotePrefix="0" xfId="0">
      <alignment vertical="top"/>
    </xf>
    <xf numFmtId="164" fontId="6" fillId="4" borderId="1" applyAlignment="1" pivotButton="0" quotePrefix="0" xfId="0">
      <alignment vertical="top"/>
    </xf>
    <xf numFmtId="165" fontId="6" fillId="4" borderId="1" applyAlignment="1" pivotButton="0" quotePrefix="0" xfId="0">
      <alignment vertical="top"/>
    </xf>
    <xf numFmtId="166" fontId="6" fillId="4" borderId="1" applyAlignment="1" pivotButton="0" quotePrefix="0" xfId="0">
      <alignment vertical="top"/>
    </xf>
    <xf numFmtId="0" fontId="4" fillId="0" borderId="15" applyAlignment="1" pivotButton="0" quotePrefix="0" xfId="0">
      <alignment vertical="top"/>
    </xf>
    <xf numFmtId="0" fontId="5" fillId="0" borderId="16" applyAlignment="1" pivotButton="0" quotePrefix="0" xfId="0">
      <alignment vertical="top"/>
    </xf>
    <xf numFmtId="0" fontId="0" fillId="0" borderId="16" applyAlignment="1" pivotButton="0" quotePrefix="0" xfId="0">
      <alignment vertical="top"/>
    </xf>
    <xf numFmtId="0" fontId="0" fillId="0" borderId="16" applyAlignment="1" pivotButton="0" quotePrefix="0" xfId="0">
      <alignment vertical="top" wrapText="1"/>
    </xf>
    <xf numFmtId="0" fontId="0" fillId="0" borderId="17" applyAlignment="1" pivotButton="0" quotePrefix="0" xfId="0">
      <alignment vertical="top" wrapText="1"/>
    </xf>
    <xf numFmtId="0" fontId="3" fillId="2" borderId="0" applyAlignment="1" pivotButton="0" quotePrefix="0" xfId="0">
      <alignment horizontal="left"/>
    </xf>
    <xf numFmtId="0" fontId="3" fillId="2" borderId="1" applyAlignment="1" pivotButton="0" quotePrefix="0" xfId="0">
      <alignment horizontal="left"/>
    </xf>
    <xf numFmtId="0" fontId="0" fillId="5" borderId="0" pivotButton="0" quotePrefix="0" xfId="0"/>
    <xf numFmtId="0" fontId="0" fillId="5" borderId="1" pivotButton="0" quotePrefix="0" xfId="0"/>
    <xf numFmtId="0" fontId="7" fillId="5" borderId="0" pivotButton="0" quotePrefix="0" xfId="0"/>
    <xf numFmtId="0" fontId="7" fillId="5" borderId="1" pivotButton="0" quotePrefix="0" xfId="0"/>
    <xf numFmtId="0" fontId="0" fillId="6" borderId="0" pivotButton="0" quotePrefix="0" xfId="0"/>
    <xf numFmtId="0" fontId="0" fillId="6" borderId="1" pivotButton="0" quotePrefix="0" xfId="0"/>
    <xf numFmtId="0" fontId="8" fillId="6" borderId="0" pivotButton="0" quotePrefix="0" xfId="0"/>
    <xf numFmtId="0" fontId="8" fillId="6" borderId="1" pivotButton="0" quotePrefix="0" xfId="0"/>
    <xf numFmtId="0" fontId="9" fillId="0" borderId="0" pivotButton="0" quotePrefix="0" xfId="0"/>
    <xf numFmtId="0" fontId="10" fillId="6" borderId="0" pivotButton="0" quotePrefix="0" xfId="0"/>
    <xf numFmtId="0" fontId="9" fillId="0" borderId="1" pivotButton="0" quotePrefix="0" xfId="0"/>
    <xf numFmtId="0" fontId="10" fillId="6" borderId="1" pivotButton="0" quotePrefix="0" xfId="0"/>
    <xf numFmtId="164" fontId="0" fillId="0" borderId="0" pivotButton="0" quotePrefix="0" xfId="0"/>
    <xf numFmtId="164" fontId="8" fillId="6" borderId="0" pivotButton="0" quotePrefix="0" xfId="0"/>
    <xf numFmtId="164" fontId="3" fillId="2" borderId="0" applyAlignment="1" pivotButton="0" quotePrefix="0" xfId="0">
      <alignment horizontal="left"/>
    </xf>
    <xf numFmtId="164" fontId="7" fillId="5" borderId="0" pivotButton="0" quotePrefix="0" xfId="0"/>
    <xf numFmtId="164" fontId="0" fillId="0" borderId="1" pivotButton="0" quotePrefix="0" xfId="0"/>
    <xf numFmtId="164" fontId="8" fillId="6" borderId="1" pivotButton="0" quotePrefix="0" xfId="0"/>
    <xf numFmtId="164" fontId="3" fillId="2" borderId="1" applyAlignment="1" pivotButton="0" quotePrefix="0" xfId="0">
      <alignment horizontal="left"/>
    </xf>
    <xf numFmtId="164" fontId="7" fillId="5" borderId="1" pivotButton="0" quotePrefix="0" xfId="0"/>
    <xf numFmtId="165" fontId="0" fillId="0" borderId="0" pivotButton="0" quotePrefix="0" xfId="0"/>
    <xf numFmtId="165" fontId="0" fillId="0" borderId="1" pivotButton="0" quotePrefix="0" xfId="0"/>
    <xf numFmtId="166" fontId="0" fillId="0" borderId="0" pivotButton="0" quotePrefix="0" xfId="0"/>
    <xf numFmtId="166" fontId="0" fillId="0" borderId="1" pivotButton="0" quotePrefix="0" xfId="0"/>
    <xf numFmtId="0" fontId="3" fillId="2" borderId="2" applyAlignment="1" pivotButton="0" quotePrefix="0" xfId="0">
      <alignment horizontal="left"/>
    </xf>
    <xf numFmtId="0" fontId="3" fillId="2" borderId="3" applyAlignment="1" pivotButton="0" quotePrefix="0" xfId="0">
      <alignment horizontal="left"/>
    </xf>
    <xf numFmtId="0" fontId="3" fillId="2" borderId="4" applyAlignment="1" pivotButton="0" quotePrefix="0" xfId="0">
      <alignment horizontal="left"/>
    </xf>
    <xf numFmtId="0" fontId="7" fillId="5" borderId="5" pivotButton="0" quotePrefix="0" xfId="0"/>
    <xf numFmtId="0" fontId="7" fillId="5" borderId="6" pivotButton="0" quotePrefix="0" xfId="0"/>
    <xf numFmtId="0" fontId="9" fillId="0" borderId="5" pivotButton="0" quotePrefix="0" xfId="0"/>
    <xf numFmtId="0" fontId="8" fillId="6" borderId="5" pivotButton="0" quotePrefix="0" xfId="0"/>
    <xf numFmtId="0" fontId="8" fillId="6" borderId="6" pivotButton="0" quotePrefix="0" xfId="0"/>
    <xf numFmtId="0" fontId="0" fillId="0" borderId="5" pivotButton="0" quotePrefix="0" xfId="0"/>
    <xf numFmtId="0" fontId="3" fillId="2" borderId="5" applyAlignment="1" pivotButton="0" quotePrefix="0" xfId="0">
      <alignment horizontal="left"/>
    </xf>
    <xf numFmtId="0" fontId="3" fillId="2" borderId="6" applyAlignment="1" pivotButton="0" quotePrefix="0" xfId="0">
      <alignment horizontal="left"/>
    </xf>
    <xf numFmtId="0" fontId="0" fillId="0" borderId="7" pivotButton="0" quotePrefix="0" xfId="0"/>
    <xf numFmtId="164" fontId="0" fillId="0" borderId="8" pivotButton="0" quotePrefix="0" xfId="0"/>
    <xf numFmtId="0" fontId="3" fillId="2" borderId="10" applyAlignment="1" pivotButton="0" quotePrefix="0" xfId="0">
      <alignment horizontal="left"/>
    </xf>
    <xf numFmtId="0" fontId="3" fillId="2" borderId="11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7" fillId="5" borderId="13" pivotButton="0" quotePrefix="0" xfId="0"/>
    <xf numFmtId="0" fontId="7" fillId="5" borderId="14" pivotButton="0" quotePrefix="0" xfId="0"/>
    <xf numFmtId="0" fontId="9" fillId="0" borderId="13" pivotButton="0" quotePrefix="0" xfId="0"/>
    <xf numFmtId="0" fontId="8" fillId="6" borderId="13" pivotButton="0" quotePrefix="0" xfId="0"/>
    <xf numFmtId="0" fontId="8" fillId="6" borderId="14" pivotButton="0" quotePrefix="0" xfId="0"/>
    <xf numFmtId="0" fontId="0" fillId="0" borderId="13" pivotButton="0" quotePrefix="0" xfId="0"/>
    <xf numFmtId="0" fontId="3" fillId="2" borderId="13" applyAlignment="1" pivotButton="0" quotePrefix="0" xfId="0">
      <alignment horizontal="left"/>
    </xf>
    <xf numFmtId="0" fontId="3" fillId="2" borderId="14" applyAlignment="1" pivotButton="0" quotePrefix="0" xfId="0">
      <alignment horizontal="left"/>
    </xf>
    <xf numFmtId="0" fontId="0" fillId="0" borderId="15" pivotButton="0" quotePrefix="0" xfId="0"/>
    <xf numFmtId="164" fontId="0" fillId="0" borderId="16" pivotButton="0" quotePrefix="0" xfId="0"/>
    <xf numFmtId="165" fontId="11" fillId="0" borderId="0" pivotButton="0" quotePrefix="0" xfId="0"/>
    <xf numFmtId="164" fontId="11" fillId="0" borderId="0" pivotButton="0" quotePrefix="0" xfId="0"/>
    <xf numFmtId="165" fontId="11" fillId="0" borderId="1" pivotButton="0" quotePrefix="0" xfId="0"/>
    <xf numFmtId="164" fontId="11" fillId="0" borderId="1" pivotButton="0" quotePrefix="0" xfId="0"/>
    <xf numFmtId="164" fontId="12" fillId="0" borderId="0" pivotButton="0" quotePrefix="0" xfId="0"/>
    <xf numFmtId="166" fontId="12" fillId="0" borderId="0" pivotButton="0" quotePrefix="0" xfId="0"/>
    <xf numFmtId="164" fontId="7" fillId="6" borderId="0" pivotButton="0" quotePrefix="0" xfId="0"/>
    <xf numFmtId="165" fontId="12" fillId="0" borderId="0" pivotButton="0" quotePrefix="0" xfId="0"/>
    <xf numFmtId="164" fontId="7" fillId="2" borderId="0" applyAlignment="1" pivotButton="0" quotePrefix="0" xfId="0">
      <alignment horizontal="left"/>
    </xf>
    <xf numFmtId="164" fontId="12" fillId="0" borderId="8" pivotButton="0" quotePrefix="0" xfId="0"/>
    <xf numFmtId="164" fontId="12" fillId="0" borderId="1" pivotButton="0" quotePrefix="0" xfId="0"/>
    <xf numFmtId="166" fontId="12" fillId="0" borderId="1" pivotButton="0" quotePrefix="0" xfId="0"/>
    <xf numFmtId="164" fontId="7" fillId="6" borderId="1" pivotButton="0" quotePrefix="0" xfId="0"/>
    <xf numFmtId="165" fontId="12" fillId="0" borderId="1" pivotButton="0" quotePrefix="0" xfId="0"/>
    <xf numFmtId="164" fontId="7" fillId="2" borderId="1" applyAlignment="1" pivotButton="0" quotePrefix="0" xfId="0">
      <alignment horizontal="left"/>
    </xf>
    <xf numFmtId="164" fontId="12" fillId="0" borderId="16" pivotButton="0" quotePrefix="0" xfId="0"/>
    <xf numFmtId="0" fontId="2" fillId="3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3" fillId="2" borderId="2" applyAlignment="1" pivotButton="0" quotePrefix="0" xfId="0">
      <alignment horizontal="left" vertical="center"/>
    </xf>
    <xf numFmtId="0" fontId="3" fillId="2" borderId="3" applyAlignment="1" pivotButton="0" quotePrefix="0" xfId="0">
      <alignment horizontal="left" vertical="center"/>
    </xf>
    <xf numFmtId="0" fontId="3" fillId="2" borderId="4" applyAlignment="1" pivotButton="0" quotePrefix="0" xfId="0">
      <alignment horizontal="left" vertical="center"/>
    </xf>
    <xf numFmtId="0" fontId="7" fillId="5" borderId="5" applyAlignment="1" pivotButton="0" quotePrefix="0" xfId="0">
      <alignment vertical="center"/>
    </xf>
    <xf numFmtId="0" fontId="7" fillId="5" borderId="0" applyAlignment="1" pivotButton="0" quotePrefix="0" xfId="0">
      <alignment vertical="center"/>
    </xf>
    <xf numFmtId="0" fontId="7" fillId="5" borderId="6" applyAlignment="1" pivotButton="0" quotePrefix="0" xfId="0">
      <alignment vertical="center"/>
    </xf>
    <xf numFmtId="0" fontId="9" fillId="0" borderId="5" applyAlignment="1" pivotButton="0" quotePrefix="0" xfId="0">
      <alignment vertical="center"/>
    </xf>
    <xf numFmtId="165" fontId="11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6" applyAlignment="1" pivotButton="0" quotePrefix="0" xfId="0">
      <alignment vertical="center"/>
    </xf>
    <xf numFmtId="164" fontId="11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4" fontId="12" fillId="0" borderId="0" applyAlignment="1" pivotButton="0" quotePrefix="0" xfId="0">
      <alignment vertical="center"/>
    </xf>
    <xf numFmtId="166" fontId="12" fillId="0" borderId="0" applyAlignment="1" pivotButton="0" quotePrefix="0" xfId="0">
      <alignment vertical="center"/>
    </xf>
    <xf numFmtId="0" fontId="8" fillId="6" borderId="5" applyAlignment="1" pivotButton="0" quotePrefix="0" xfId="0">
      <alignment vertical="center"/>
    </xf>
    <xf numFmtId="164" fontId="7" fillId="6" borderId="0" applyAlignment="1" pivotButton="0" quotePrefix="0" xfId="0">
      <alignment vertical="center"/>
    </xf>
    <xf numFmtId="0" fontId="8" fillId="6" borderId="6" applyAlignment="1" pivotButton="0" quotePrefix="0" xfId="0">
      <alignment vertical="center"/>
    </xf>
    <xf numFmtId="165" fontId="12" fillId="0" borderId="0" applyAlignment="1" pivotButton="0" quotePrefix="0" xfId="0">
      <alignment vertical="center"/>
    </xf>
    <xf numFmtId="0" fontId="0" fillId="0" borderId="5" applyAlignment="1" pivotButton="0" quotePrefix="0" xfId="0">
      <alignment vertical="center"/>
    </xf>
    <xf numFmtId="0" fontId="3" fillId="2" borderId="5" applyAlignment="1" pivotButton="0" quotePrefix="0" xfId="0">
      <alignment horizontal="left" vertical="center"/>
    </xf>
    <xf numFmtId="164" fontId="7" fillId="2" borderId="0" applyAlignment="1" pivotButton="0" quotePrefix="0" xfId="0">
      <alignment horizontal="left" vertical="center"/>
    </xf>
    <xf numFmtId="0" fontId="3" fillId="2" borderId="6" applyAlignment="1" pivotButton="0" quotePrefix="0" xfId="0">
      <alignment horizontal="left" vertical="center"/>
    </xf>
    <xf numFmtId="164" fontId="7" fillId="5" borderId="0" applyAlignment="1" pivotButton="0" quotePrefix="0" xfId="0">
      <alignment vertical="center"/>
    </xf>
    <xf numFmtId="0" fontId="0" fillId="0" borderId="7" applyAlignment="1" pivotButton="0" quotePrefix="0" xfId="0">
      <alignment vertical="center"/>
    </xf>
    <xf numFmtId="164" fontId="12" fillId="0" borderId="8" applyAlignment="1" pivotButton="0" quotePrefix="0" xfId="0">
      <alignment vertical="center"/>
    </xf>
    <xf numFmtId="0" fontId="0" fillId="0" borderId="9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3" fillId="2" borderId="10" applyAlignment="1" pivotButton="0" quotePrefix="0" xfId="0">
      <alignment horizontal="left" vertical="center"/>
    </xf>
    <xf numFmtId="0" fontId="3" fillId="2" borderId="11" applyAlignment="1" pivotButton="0" quotePrefix="0" xfId="0">
      <alignment horizontal="left" vertical="center"/>
    </xf>
    <xf numFmtId="0" fontId="3" fillId="2" borderId="12" applyAlignment="1" pivotButton="0" quotePrefix="0" xfId="0">
      <alignment horizontal="left" vertical="center"/>
    </xf>
    <xf numFmtId="0" fontId="7" fillId="5" borderId="13" applyAlignment="1" pivotButton="0" quotePrefix="0" xfId="0">
      <alignment vertical="center"/>
    </xf>
    <xf numFmtId="0" fontId="7" fillId="5" borderId="1" applyAlignment="1" pivotButton="0" quotePrefix="0" xfId="0">
      <alignment vertical="center"/>
    </xf>
    <xf numFmtId="0" fontId="7" fillId="5" borderId="14" applyAlignment="1" pivotButton="0" quotePrefix="0" xfId="0">
      <alignment vertical="center"/>
    </xf>
    <xf numFmtId="0" fontId="9" fillId="0" borderId="13" applyAlignment="1" pivotButton="0" quotePrefix="0" xfId="0">
      <alignment vertical="center"/>
    </xf>
    <xf numFmtId="165" fontId="11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0" fontId="0" fillId="0" borderId="14" applyAlignment="1" pivotButton="0" quotePrefix="0" xfId="0">
      <alignment vertical="center"/>
    </xf>
    <xf numFmtId="164" fontId="11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4" fontId="12" fillId="0" borderId="1" applyAlignment="1" pivotButton="0" quotePrefix="0" xfId="0">
      <alignment vertical="center"/>
    </xf>
    <xf numFmtId="166" fontId="12" fillId="0" borderId="1" applyAlignment="1" pivotButton="0" quotePrefix="0" xfId="0">
      <alignment vertical="center"/>
    </xf>
    <xf numFmtId="0" fontId="8" fillId="6" borderId="13" applyAlignment="1" pivotButton="0" quotePrefix="0" xfId="0">
      <alignment vertical="center"/>
    </xf>
    <xf numFmtId="164" fontId="7" fillId="6" borderId="1" applyAlignment="1" pivotButton="0" quotePrefix="0" xfId="0">
      <alignment vertical="center"/>
    </xf>
    <xf numFmtId="0" fontId="8" fillId="6" borderId="14" applyAlignment="1" pivotButton="0" quotePrefix="0" xfId="0">
      <alignment vertical="center"/>
    </xf>
    <xf numFmtId="165" fontId="12" fillId="0" borderId="1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3" fillId="2" borderId="13" applyAlignment="1" pivotButton="0" quotePrefix="0" xfId="0">
      <alignment horizontal="left" vertical="center"/>
    </xf>
    <xf numFmtId="164" fontId="7" fillId="2" borderId="1" applyAlignment="1" pivotButton="0" quotePrefix="0" xfId="0">
      <alignment horizontal="left" vertical="center"/>
    </xf>
    <xf numFmtId="0" fontId="3" fillId="2" borderId="14" applyAlignment="1" pivotButton="0" quotePrefix="0" xfId="0">
      <alignment horizontal="left" vertical="center"/>
    </xf>
    <xf numFmtId="164" fontId="7" fillId="5" borderId="1" applyAlignment="1" pivotButton="0" quotePrefix="0" xfId="0">
      <alignment vertical="center"/>
    </xf>
    <xf numFmtId="0" fontId="0" fillId="0" borderId="15" applyAlignment="1" pivotButton="0" quotePrefix="0" xfId="0">
      <alignment vertical="center"/>
    </xf>
    <xf numFmtId="164" fontId="12" fillId="0" borderId="16" applyAlignment="1" pivotButton="0" quotePrefix="0" xfId="0">
      <alignment vertical="center"/>
    </xf>
    <xf numFmtId="0" fontId="0" fillId="0" borderId="17" applyAlignment="1" pivotButton="0" quotePrefix="0" xfId="0">
      <alignment vertical="center"/>
    </xf>
    <xf numFmtId="0" fontId="0" fillId="0" borderId="6" applyAlignment="1" pivotButton="0" quotePrefix="0" xfId="0">
      <alignment vertical="center" wrapText="1"/>
    </xf>
    <xf numFmtId="0" fontId="8" fillId="6" borderId="6" applyAlignment="1" pivotButton="0" quotePrefix="0" xfId="0">
      <alignment vertical="center" wrapText="1"/>
    </xf>
    <xf numFmtId="0" fontId="3" fillId="2" borderId="6" applyAlignment="1" pivotButton="0" quotePrefix="0" xfId="0">
      <alignment horizontal="left" vertical="center" wrapText="1"/>
    </xf>
    <xf numFmtId="0" fontId="7" fillId="5" borderId="6" applyAlignment="1" pivotButton="0" quotePrefix="0" xfId="0">
      <alignment vertical="center" wrapText="1"/>
    </xf>
    <xf numFmtId="0" fontId="0" fillId="0" borderId="9" applyAlignment="1" pivotButton="0" quotePrefix="0" xfId="0">
      <alignment vertical="center" wrapText="1"/>
    </xf>
    <xf numFmtId="0" fontId="0" fillId="0" borderId="14" applyAlignment="1" pivotButton="0" quotePrefix="0" xfId="0">
      <alignment vertical="center" wrapText="1"/>
    </xf>
    <xf numFmtId="0" fontId="8" fillId="6" borderId="14" applyAlignment="1" pivotButton="0" quotePrefix="0" xfId="0">
      <alignment vertical="center" wrapText="1"/>
    </xf>
    <xf numFmtId="0" fontId="3" fillId="2" borderId="14" applyAlignment="1" pivotButton="0" quotePrefix="0" xfId="0">
      <alignment horizontal="left" vertical="center" wrapText="1"/>
    </xf>
    <xf numFmtId="0" fontId="7" fillId="5" borderId="14" applyAlignment="1" pivotButton="0" quotePrefix="0" xfId="0">
      <alignment vertical="center" wrapText="1"/>
    </xf>
    <xf numFmtId="0" fontId="0" fillId="0" borderId="17" applyAlignment="1" pivotButton="0" quotePrefix="0" xfId="0">
      <alignment vertical="center" wrapText="1"/>
    </xf>
    <xf numFmtId="0" fontId="11" fillId="0" borderId="0" pivotButton="0" quotePrefix="0" xfId="0"/>
    <xf numFmtId="0" fontId="11" fillId="0" borderId="1" pivotButton="0" quotePrefix="0" xfId="0"/>
    <xf numFmtId="166" fontId="11" fillId="0" borderId="0" pivotButton="0" quotePrefix="0" xfId="0"/>
    <xf numFmtId="166" fontId="11" fillId="0" borderId="1" pivotButton="0" quotePrefix="0" xfId="0"/>
    <xf numFmtId="164" fontId="11" fillId="0" borderId="6" pivotButton="0" quotePrefix="0" xfId="0"/>
    <xf numFmtId="166" fontId="11" fillId="0" borderId="6" pivotButton="0" quotePrefix="0" xfId="0"/>
    <xf numFmtId="164" fontId="11" fillId="0" borderId="8" pivotButton="0" quotePrefix="0" xfId="0"/>
    <xf numFmtId="164" fontId="11" fillId="0" borderId="9" pivotButton="0" quotePrefix="0" xfId="0"/>
    <xf numFmtId="164" fontId="11" fillId="0" borderId="14" pivotButton="0" quotePrefix="0" xfId="0"/>
    <xf numFmtId="166" fontId="11" fillId="0" borderId="14" pivotButton="0" quotePrefix="0" xfId="0"/>
    <xf numFmtId="164" fontId="11" fillId="0" borderId="16" pivotButton="0" quotePrefix="0" xfId="0"/>
    <xf numFmtId="164" fontId="11" fillId="0" borderId="17" pivotButton="0" quotePrefix="0" xfId="0"/>
    <xf numFmtId="0" fontId="3" fillId="0" borderId="0" pivotButton="0" quotePrefix="0" xfId="0"/>
    <xf numFmtId="0" fontId="3" fillId="0" borderId="1" pivotButton="0" quotePrefix="0" xfId="0"/>
    <xf numFmtId="0" fontId="3" fillId="7" borderId="0" pivotButton="0" quotePrefix="0" xfId="0"/>
    <xf numFmtId="0" fontId="3" fillId="7" borderId="1" pivotButton="0" quotePrefix="0" xfId="0"/>
    <xf numFmtId="0" fontId="3" fillId="8" borderId="0" pivotButton="0" quotePrefix="0" xfId="0"/>
    <xf numFmtId="0" fontId="3" fillId="8" borderId="1" pivotButton="0" quotePrefix="0" xfId="0"/>
    <xf numFmtId="0" fontId="3" fillId="7" borderId="8" pivotButton="0" quotePrefix="0" xfId="0"/>
    <xf numFmtId="0" fontId="3" fillId="7" borderId="16" pivotButton="0" quotePrefix="0" xfId="0"/>
    <xf numFmtId="0" fontId="7" fillId="5" borderId="2" pivotButton="0" quotePrefix="0" xfId="0"/>
    <xf numFmtId="0" fontId="7" fillId="5" borderId="3" pivotButton="0" quotePrefix="0" xfId="0"/>
    <xf numFmtId="0" fontId="7" fillId="5" borderId="4" pivotButton="0" quotePrefix="0" xfId="0"/>
    <xf numFmtId="165" fontId="0" fillId="0" borderId="6" pivotButton="0" quotePrefix="0" xfId="0"/>
    <xf numFmtId="164" fontId="0" fillId="0" borderId="6" pivotButton="0" quotePrefix="0" xfId="0"/>
    <xf numFmtId="166" fontId="0" fillId="0" borderId="6" pivotButton="0" quotePrefix="0" xfId="0"/>
    <xf numFmtId="0" fontId="9" fillId="0" borderId="7" pivotButton="0" quotePrefix="0" xfId="0"/>
    <xf numFmtId="164" fontId="0" fillId="0" borderId="9" pivotButton="0" quotePrefix="0" xfId="0"/>
    <xf numFmtId="0" fontId="7" fillId="5" borderId="10" pivotButton="0" quotePrefix="0" xfId="0"/>
    <xf numFmtId="0" fontId="7" fillId="5" borderId="11" pivotButton="0" quotePrefix="0" xfId="0"/>
    <xf numFmtId="0" fontId="7" fillId="5" borderId="12" pivotButton="0" quotePrefix="0" xfId="0"/>
    <xf numFmtId="165" fontId="0" fillId="0" borderId="14" pivotButton="0" quotePrefix="0" xfId="0"/>
    <xf numFmtId="164" fontId="0" fillId="0" borderId="14" pivotButton="0" quotePrefix="0" xfId="0"/>
    <xf numFmtId="166" fontId="0" fillId="0" borderId="14" pivotButton="0" quotePrefix="0" xfId="0"/>
    <xf numFmtId="0" fontId="9" fillId="0" borderId="15" pivotButton="0" quotePrefix="0" xfId="0"/>
    <xf numFmtId="164" fontId="0" fillId="0" borderId="17" pivotButton="0" quotePrefix="0" xfId="0"/>
    <xf numFmtId="165" fontId="11" fillId="0" borderId="6" pivotButton="0" quotePrefix="0" xfId="0"/>
    <xf numFmtId="165" fontId="11" fillId="0" borderId="14" pivotButton="0" quotePrefix="0" xfId="0"/>
    <xf numFmtId="0" fontId="13" fillId="0" borderId="0" pivotButton="0" quotePrefix="0" xfId="0"/>
    <xf numFmtId="0" fontId="13" fillId="0" borderId="1" pivotButton="0" quotePrefix="0" xfId="0"/>
    <xf numFmtId="0" fontId="13" fillId="9" borderId="0" pivotButton="0" quotePrefix="0" xfId="0"/>
    <xf numFmtId="0" fontId="13" fillId="9" borderId="1" pivotButton="0" quotePrefix="0" xfId="0"/>
    <xf numFmtId="0" fontId="3" fillId="2" borderId="2" applyAlignment="1" pivotButton="0" quotePrefix="0" xfId="0">
      <alignment vertical="center"/>
    </xf>
    <xf numFmtId="0" fontId="3" fillId="2" borderId="3" applyAlignment="1" pivotButton="0" quotePrefix="0" xfId="0">
      <alignment vertical="center"/>
    </xf>
    <xf numFmtId="0" fontId="3" fillId="2" borderId="4" applyAlignment="1" pivotButton="0" quotePrefix="0" xfId="0">
      <alignment vertical="center"/>
    </xf>
    <xf numFmtId="0" fontId="4" fillId="0" borderId="5" applyAlignment="1" pivotButton="0" quotePrefix="0" xfId="0">
      <alignment vertical="center"/>
    </xf>
    <xf numFmtId="164" fontId="11" fillId="0" borderId="6" applyAlignment="1" pivotButton="0" quotePrefix="0" xfId="0">
      <alignment vertical="center"/>
    </xf>
    <xf numFmtId="0" fontId="3" fillId="7" borderId="0" applyAlignment="1" pivotButton="0" quotePrefix="0" xfId="0">
      <alignment vertical="center"/>
    </xf>
    <xf numFmtId="166" fontId="11" fillId="0" borderId="0" applyAlignment="1" pivotButton="0" quotePrefix="0" xfId="0">
      <alignment vertical="center"/>
    </xf>
    <xf numFmtId="166" fontId="11" fillId="0" borderId="6" applyAlignment="1" pivotButton="0" quotePrefix="0" xfId="0">
      <alignment vertical="center"/>
    </xf>
    <xf numFmtId="0" fontId="3" fillId="8" borderId="0" applyAlignment="1" pivotButton="0" quotePrefix="0" xfId="0">
      <alignment vertical="center"/>
    </xf>
    <xf numFmtId="0" fontId="4" fillId="0" borderId="7" applyAlignment="1" pivotButton="0" quotePrefix="0" xfId="0">
      <alignment vertical="center"/>
    </xf>
    <xf numFmtId="164" fontId="11" fillId="0" borderId="8" applyAlignment="1" pivotButton="0" quotePrefix="0" xfId="0">
      <alignment vertical="center"/>
    </xf>
    <xf numFmtId="164" fontId="11" fillId="0" borderId="9" applyAlignment="1" pivotButton="0" quotePrefix="0" xfId="0">
      <alignment vertical="center"/>
    </xf>
    <xf numFmtId="0" fontId="3" fillId="7" borderId="8" applyAlignment="1" pivotButton="0" quotePrefix="0" xfId="0">
      <alignment vertical="center"/>
    </xf>
    <xf numFmtId="0" fontId="3" fillId="2" borderId="0" applyAlignment="1" pivotButton="0" quotePrefix="0" xfId="0">
      <alignment horizontal="left" vertical="center"/>
    </xf>
    <xf numFmtId="0" fontId="7" fillId="5" borderId="2" applyAlignment="1" pivotButton="0" quotePrefix="0" xfId="0">
      <alignment vertical="center"/>
    </xf>
    <xf numFmtId="0" fontId="7" fillId="5" borderId="3" applyAlignment="1" pivotButton="0" quotePrefix="0" xfId="0">
      <alignment vertical="center"/>
    </xf>
    <xf numFmtId="0" fontId="7" fillId="5" borderId="4" applyAlignment="1" pivotButton="0" quotePrefix="0" xfId="0">
      <alignment vertical="center"/>
    </xf>
    <xf numFmtId="165" fontId="11" fillId="0" borderId="6" applyAlignment="1" pivotButton="0" quotePrefix="0" xfId="0">
      <alignment vertical="center"/>
    </xf>
    <xf numFmtId="0" fontId="9" fillId="0" borderId="7" applyAlignment="1" pivotButton="0" quotePrefix="0" xfId="0">
      <alignment vertical="center"/>
    </xf>
    <xf numFmtId="0" fontId="3" fillId="2" borderId="10" applyAlignment="1" pivotButton="0" quotePrefix="0" xfId="0">
      <alignment vertical="center"/>
    </xf>
    <xf numFmtId="0" fontId="3" fillId="2" borderId="11" applyAlignment="1" pivotButton="0" quotePrefix="0" xfId="0">
      <alignment vertical="center"/>
    </xf>
    <xf numFmtId="0" fontId="3" fillId="2" borderId="12" applyAlignment="1" pivotButton="0" quotePrefix="0" xfId="0">
      <alignment vertical="center"/>
    </xf>
    <xf numFmtId="0" fontId="4" fillId="0" borderId="13" applyAlignment="1" pivotButton="0" quotePrefix="0" xfId="0">
      <alignment vertical="center"/>
    </xf>
    <xf numFmtId="164" fontId="11" fillId="0" borderId="14" applyAlignment="1" pivotButton="0" quotePrefix="0" xfId="0">
      <alignment vertical="center"/>
    </xf>
    <xf numFmtId="0" fontId="3" fillId="7" borderId="1" applyAlignment="1" pivotButton="0" quotePrefix="0" xfId="0">
      <alignment vertical="center"/>
    </xf>
    <xf numFmtId="166" fontId="11" fillId="0" borderId="1" applyAlignment="1" pivotButton="0" quotePrefix="0" xfId="0">
      <alignment vertical="center"/>
    </xf>
    <xf numFmtId="166" fontId="11" fillId="0" borderId="14" applyAlignment="1" pivotButton="0" quotePrefix="0" xfId="0">
      <alignment vertical="center"/>
    </xf>
    <xf numFmtId="0" fontId="3" fillId="8" borderId="1" applyAlignment="1" pivotButton="0" quotePrefix="0" xfId="0">
      <alignment vertical="center"/>
    </xf>
    <xf numFmtId="0" fontId="4" fillId="0" borderId="15" applyAlignment="1" pivotButton="0" quotePrefix="0" xfId="0">
      <alignment vertical="center"/>
    </xf>
    <xf numFmtId="164" fontId="11" fillId="0" borderId="16" applyAlignment="1" pivotButton="0" quotePrefix="0" xfId="0">
      <alignment vertical="center"/>
    </xf>
    <xf numFmtId="164" fontId="11" fillId="0" borderId="17" applyAlignment="1" pivotButton="0" quotePrefix="0" xfId="0">
      <alignment vertical="center"/>
    </xf>
    <xf numFmtId="0" fontId="3" fillId="7" borderId="16" applyAlignment="1" pivotButton="0" quotePrefix="0" xfId="0">
      <alignment vertical="center"/>
    </xf>
    <xf numFmtId="0" fontId="3" fillId="2" borderId="1" applyAlignment="1" pivotButton="0" quotePrefix="0" xfId="0">
      <alignment horizontal="left" vertical="center"/>
    </xf>
    <xf numFmtId="0" fontId="7" fillId="5" borderId="10" applyAlignment="1" pivotButton="0" quotePrefix="0" xfId="0">
      <alignment vertical="center"/>
    </xf>
    <xf numFmtId="0" fontId="7" fillId="5" borderId="11" applyAlignment="1" pivotButton="0" quotePrefix="0" xfId="0">
      <alignment vertical="center"/>
    </xf>
    <xf numFmtId="0" fontId="7" fillId="5" borderId="12" applyAlignment="1" pivotButton="0" quotePrefix="0" xfId="0">
      <alignment vertical="center"/>
    </xf>
    <xf numFmtId="165" fontId="11" fillId="0" borderId="14" applyAlignment="1" pivotButton="0" quotePrefix="0" xfId="0">
      <alignment vertical="center"/>
    </xf>
    <xf numFmtId="0" fontId="9" fillId="0" borderId="15" applyAlignment="1" pivotButton="0" quotePrefix="0" xfId="0">
      <alignment vertical="center"/>
    </xf>
    <xf numFmtId="0" fontId="0" fillId="8" borderId="0" pivotButton="0" quotePrefix="0" xfId="0"/>
    <xf numFmtId="0" fontId="0" fillId="8" borderId="1" pivotButton="0" quotePrefix="0" xfId="0"/>
    <xf numFmtId="0" fontId="0" fillId="7" borderId="0" pivotButton="0" quotePrefix="0" xfId="0"/>
    <xf numFmtId="0" fontId="0" fillId="7" borderId="1" pivotButton="0" quotePrefix="0" xfId="0"/>
    <xf numFmtId="0" fontId="0" fillId="10" borderId="0" pivotButton="0" quotePrefix="0" xfId="0"/>
    <xf numFmtId="0" fontId="0" fillId="10" borderId="1" pivotButton="0" quotePrefix="0" xfId="0"/>
    <xf numFmtId="0" fontId="7" fillId="10" borderId="0" pivotButton="0" quotePrefix="0" xfId="0"/>
    <xf numFmtId="0" fontId="7" fillId="10" borderId="1" pivotButton="0" quotePrefix="0" xfId="0"/>
    <xf numFmtId="0" fontId="0" fillId="0" borderId="5" applyAlignment="1" pivotButton="0" quotePrefix="0" xfId="0">
      <alignment wrapText="1"/>
    </xf>
    <xf numFmtId="0" fontId="0" fillId="0" borderId="7" applyAlignment="1" pivotButton="0" quotePrefix="0" xfId="0">
      <alignment wrapText="1"/>
    </xf>
    <xf numFmtId="0" fontId="0" fillId="0" borderId="13" applyAlignment="1" pivotButton="0" quotePrefix="0" xfId="0">
      <alignment wrapText="1"/>
    </xf>
    <xf numFmtId="0" fontId="0" fillId="0" borderId="15" applyAlignment="1" pivotButton="0" quotePrefix="0" xfId="0">
      <alignment wrapText="1"/>
    </xf>
    <xf numFmtId="0" fontId="0" fillId="11" borderId="0" pivotButton="0" quotePrefix="0" xfId="0"/>
    <xf numFmtId="0" fontId="0" fillId="11" borderId="1" pivotButton="0" quotePrefix="0" xfId="0"/>
    <xf numFmtId="0" fontId="7" fillId="11" borderId="0" pivotButton="0" quotePrefix="0" xfId="0"/>
    <xf numFmtId="0" fontId="7" fillId="11" borderId="1" pivotButton="0" quotePrefix="0" xfId="0"/>
    <xf numFmtId="0" fontId="0" fillId="12" borderId="0" pivotButton="0" quotePrefix="0" xfId="0"/>
    <xf numFmtId="0" fontId="0" fillId="12" borderId="1" pivotButton="0" quotePrefix="0" xfId="0"/>
    <xf numFmtId="0" fontId="3" fillId="12" borderId="0" pivotButton="0" quotePrefix="0" xfId="0"/>
    <xf numFmtId="0" fontId="3" fillId="12" borderId="1" pivotButton="0" quotePrefix="0" xfId="0"/>
    <xf numFmtId="0" fontId="3" fillId="12" borderId="8" pivotButton="0" quotePrefix="0" xfId="0"/>
    <xf numFmtId="0" fontId="3" fillId="12" borderId="16" pivotButton="0" quotePrefix="0" xfId="0"/>
    <xf numFmtId="0" fontId="3" fillId="8" borderId="8" pivotButton="0" quotePrefix="0" xfId="0"/>
    <xf numFmtId="0" fontId="3" fillId="8" borderId="16" pivotButton="0" quotePrefix="0" xfId="0"/>
    <xf numFmtId="0" fontId="3" fillId="7" borderId="0" applyAlignment="1" pivotButton="0" quotePrefix="0" xfId="0">
      <alignment wrapText="1"/>
    </xf>
    <xf numFmtId="0" fontId="3" fillId="8" borderId="0" applyAlignment="1" pivotButton="0" quotePrefix="0" xfId="0">
      <alignment wrapText="1"/>
    </xf>
    <xf numFmtId="0" fontId="7" fillId="10" borderId="0" applyAlignment="1" pivotButton="0" quotePrefix="0" xfId="0">
      <alignment wrapText="1"/>
    </xf>
    <xf numFmtId="0" fontId="3" fillId="8" borderId="8" applyAlignment="1" pivotButton="0" quotePrefix="0" xfId="0">
      <alignment wrapText="1"/>
    </xf>
    <xf numFmtId="0" fontId="3" fillId="7" borderId="1" applyAlignment="1" pivotButton="0" quotePrefix="0" xfId="0">
      <alignment wrapText="1"/>
    </xf>
    <xf numFmtId="0" fontId="3" fillId="8" borderId="1" applyAlignment="1" pivotButton="0" quotePrefix="0" xfId="0">
      <alignment wrapText="1"/>
    </xf>
    <xf numFmtId="0" fontId="7" fillId="10" borderId="1" applyAlignment="1" pivotButton="0" quotePrefix="0" xfId="0">
      <alignment wrapText="1"/>
    </xf>
    <xf numFmtId="0" fontId="3" fillId="8" borderId="16" applyAlignment="1" pivotButton="0" quotePrefix="0" xfId="0">
      <alignment wrapText="1"/>
    </xf>
    <xf numFmtId="0" fontId="6" fillId="0" borderId="0" pivotButton="0" quotePrefix="0" xfId="0"/>
    <xf numFmtId="0" fontId="6" fillId="0" borderId="1" pivotButton="0" quotePrefix="0" xfId="0"/>
    <xf numFmtId="0" fontId="7" fillId="0" borderId="0" pivotButton="0" quotePrefix="0" xfId="0"/>
    <xf numFmtId="0" fontId="7" fillId="0" borderId="1" pivotButton="0" quotePrefix="0" xfId="0"/>
    <xf numFmtId="0" fontId="14" fillId="0" borderId="0" pivotButton="0" quotePrefix="0" xfId="0"/>
    <xf numFmtId="0" fontId="14" fillId="0" borderId="1" pivotButton="0" quotePrefix="0" xfId="0"/>
    <xf numFmtId="0" fontId="0" fillId="4" borderId="0" pivotButton="0" quotePrefix="0" xfId="0"/>
    <xf numFmtId="0" fontId="0" fillId="4" borderId="1" pivotButton="0" quotePrefix="0" xfId="0"/>
    <xf numFmtId="0" fontId="4" fillId="4" borderId="0" pivotButton="0" quotePrefix="0" xfId="0"/>
    <xf numFmtId="0" fontId="4" fillId="4" borderId="1" pivotButton="0" quotePrefix="0" xfId="0"/>
    <xf numFmtId="0" fontId="6" fillId="0" borderId="5" pivotButton="0" quotePrefix="0" xfId="0"/>
    <xf numFmtId="0" fontId="7" fillId="0" borderId="5" pivotButton="0" quotePrefix="0" xfId="0"/>
    <xf numFmtId="0" fontId="14" fillId="0" borderId="5" pivotButton="0" quotePrefix="0" xfId="0"/>
    <xf numFmtId="0" fontId="4" fillId="4" borderId="5" pivotButton="0" quotePrefix="0" xfId="0"/>
    <xf numFmtId="0" fontId="14" fillId="0" borderId="7" pivotButton="0" quotePrefix="0" xfId="0"/>
    <xf numFmtId="0" fontId="6" fillId="0" borderId="13" pivotButton="0" quotePrefix="0" xfId="0"/>
    <xf numFmtId="0" fontId="7" fillId="0" borderId="13" pivotButton="0" quotePrefix="0" xfId="0"/>
    <xf numFmtId="0" fontId="14" fillId="0" borderId="13" pivotButton="0" quotePrefix="0" xfId="0"/>
    <xf numFmtId="0" fontId="4" fillId="4" borderId="13" pivotButton="0" quotePrefix="0" xfId="0"/>
    <xf numFmtId="0" fontId="14" fillId="0" borderId="15" pivotButton="0" quotePrefix="0" xfId="0"/>
    <xf numFmtId="0" fontId="15" fillId="2" borderId="0" applyAlignment="1" pivotButton="0" quotePrefix="0" xfId="0">
      <alignment horizontal="left" vertical="center"/>
    </xf>
    <xf numFmtId="0" fontId="16" fillId="0" borderId="0" pivotButton="0" quotePrefix="0" xfId="0"/>
    <xf numFmtId="0" fontId="17" fillId="3" borderId="0" applyAlignment="1" pivotButton="0" quotePrefix="0" xfId="0">
      <alignment vertical="center"/>
    </xf>
    <xf numFmtId="0" fontId="16" fillId="0" borderId="0" applyAlignment="1" pivotButton="0" quotePrefix="0" xfId="0">
      <alignment vertical="center"/>
    </xf>
    <xf numFmtId="0" fontId="15" fillId="2" borderId="2" applyAlignment="1" pivotButton="0" quotePrefix="0" xfId="0">
      <alignment vertical="center"/>
    </xf>
    <xf numFmtId="0" fontId="15" fillId="2" borderId="3" applyAlignment="1" pivotButton="0" quotePrefix="0" xfId="0">
      <alignment vertical="center"/>
    </xf>
    <xf numFmtId="0" fontId="15" fillId="2" borderId="4" applyAlignment="1" pivotButton="0" quotePrefix="0" xfId="0">
      <alignment vertical="center"/>
    </xf>
    <xf numFmtId="0" fontId="18" fillId="9" borderId="0" pivotButton="0" quotePrefix="0" xfId="0"/>
    <xf numFmtId="0" fontId="19" fillId="0" borderId="5" applyAlignment="1" pivotButton="0" quotePrefix="0" xfId="0">
      <alignment vertical="center"/>
    </xf>
    <xf numFmtId="164" fontId="20" fillId="0" borderId="0" applyAlignment="1" pivotButton="0" quotePrefix="0" xfId="0">
      <alignment vertical="center"/>
    </xf>
    <xf numFmtId="164" fontId="20" fillId="0" borderId="6" applyAlignment="1" pivotButton="0" quotePrefix="0" xfId="0">
      <alignment vertical="center"/>
    </xf>
    <xf numFmtId="0" fontId="15" fillId="7" borderId="0" applyAlignment="1" pivotButton="0" quotePrefix="0" xfId="0">
      <alignment vertical="center"/>
    </xf>
    <xf numFmtId="0" fontId="16" fillId="0" borderId="6" applyAlignment="1" pivotButton="0" quotePrefix="0" xfId="0">
      <alignment vertical="center" wrapText="1"/>
    </xf>
    <xf numFmtId="166" fontId="20" fillId="0" borderId="0" applyAlignment="1" pivotButton="0" quotePrefix="0" xfId="0">
      <alignment vertical="center"/>
    </xf>
    <xf numFmtId="166" fontId="20" fillId="0" borderId="6" applyAlignment="1" pivotButton="0" quotePrefix="0" xfId="0">
      <alignment vertical="center"/>
    </xf>
    <xf numFmtId="0" fontId="15" fillId="8" borderId="0" applyAlignment="1" pivotButton="0" quotePrefix="0" xfId="0">
      <alignment vertical="center"/>
    </xf>
    <xf numFmtId="0" fontId="19" fillId="0" borderId="7" applyAlignment="1" pivotButton="0" quotePrefix="0" xfId="0">
      <alignment vertical="center"/>
    </xf>
    <xf numFmtId="164" fontId="20" fillId="0" borderId="8" applyAlignment="1" pivotButton="0" quotePrefix="0" xfId="0">
      <alignment vertical="center"/>
    </xf>
    <xf numFmtId="164" fontId="20" fillId="0" borderId="9" applyAlignment="1" pivotButton="0" quotePrefix="0" xfId="0">
      <alignment vertical="center"/>
    </xf>
    <xf numFmtId="0" fontId="15" fillId="7" borderId="8" applyAlignment="1" pivotButton="0" quotePrefix="0" xfId="0">
      <alignment vertical="center"/>
    </xf>
    <xf numFmtId="0" fontId="16" fillId="0" borderId="9" applyAlignment="1" pivotButton="0" quotePrefix="0" xfId="0">
      <alignment vertical="center" wrapText="1"/>
    </xf>
    <xf numFmtId="0" fontId="21" fillId="5" borderId="2" applyAlignment="1" pivotButton="0" quotePrefix="0" xfId="0">
      <alignment vertical="center"/>
    </xf>
    <xf numFmtId="0" fontId="21" fillId="5" borderId="3" applyAlignment="1" pivotButton="0" quotePrefix="0" xfId="0">
      <alignment vertical="center"/>
    </xf>
    <xf numFmtId="0" fontId="21" fillId="5" borderId="4" applyAlignment="1" pivotButton="0" quotePrefix="0" xfId="0">
      <alignment vertical="center"/>
    </xf>
    <xf numFmtId="0" fontId="22" fillId="0" borderId="5" applyAlignment="1" pivotButton="0" quotePrefix="0" xfId="0">
      <alignment vertical="center"/>
    </xf>
    <xf numFmtId="165" fontId="20" fillId="0" borderId="0" applyAlignment="1" pivotButton="0" quotePrefix="0" xfId="0">
      <alignment vertical="center"/>
    </xf>
    <xf numFmtId="165" fontId="20" fillId="0" borderId="6" applyAlignment="1" pivotButton="0" quotePrefix="0" xfId="0">
      <alignment vertical="center"/>
    </xf>
    <xf numFmtId="0" fontId="22" fillId="0" borderId="7" applyAlignment="1" pivotButton="0" quotePrefix="0" xfId="0">
      <alignment vertical="center"/>
    </xf>
    <xf numFmtId="0" fontId="15" fillId="2" borderId="1" applyAlignment="1" pivotButton="0" quotePrefix="0" xfId="0">
      <alignment horizontal="left" vertical="center"/>
    </xf>
    <xf numFmtId="0" fontId="16" fillId="0" borderId="1" pivotButton="0" quotePrefix="0" xfId="0"/>
    <xf numFmtId="0" fontId="17" fillId="3" borderId="1" applyAlignment="1" pivotButton="0" quotePrefix="0" xfId="0">
      <alignment vertical="center"/>
    </xf>
    <xf numFmtId="0" fontId="16" fillId="0" borderId="1" applyAlignment="1" pivotButton="0" quotePrefix="0" xfId="0">
      <alignment vertical="center"/>
    </xf>
    <xf numFmtId="0" fontId="15" fillId="2" borderId="10" applyAlignment="1" pivotButton="0" quotePrefix="0" xfId="0">
      <alignment vertical="center"/>
    </xf>
    <xf numFmtId="0" fontId="15" fillId="2" borderId="11" applyAlignment="1" pivotButton="0" quotePrefix="0" xfId="0">
      <alignment vertical="center"/>
    </xf>
    <xf numFmtId="0" fontId="15" fillId="2" borderId="12" applyAlignment="1" pivotButton="0" quotePrefix="0" xfId="0">
      <alignment vertical="center"/>
    </xf>
    <xf numFmtId="0" fontId="18" fillId="9" borderId="1" pivotButton="0" quotePrefix="0" xfId="0"/>
    <xf numFmtId="0" fontId="19" fillId="0" borderId="13" applyAlignment="1" pivotButton="0" quotePrefix="0" xfId="0">
      <alignment vertical="center"/>
    </xf>
    <xf numFmtId="164" fontId="20" fillId="0" borderId="1" applyAlignment="1" pivotButton="0" quotePrefix="0" xfId="0">
      <alignment vertical="center"/>
    </xf>
    <xf numFmtId="164" fontId="20" fillId="0" borderId="14" applyAlignment="1" pivotButton="0" quotePrefix="0" xfId="0">
      <alignment vertical="center"/>
    </xf>
    <xf numFmtId="0" fontId="15" fillId="7" borderId="1" applyAlignment="1" pivotButton="0" quotePrefix="0" xfId="0">
      <alignment vertical="center"/>
    </xf>
    <xf numFmtId="0" fontId="16" fillId="0" borderId="14" applyAlignment="1" pivotButton="0" quotePrefix="0" xfId="0">
      <alignment vertical="center" wrapText="1"/>
    </xf>
    <xf numFmtId="166" fontId="20" fillId="0" borderId="1" applyAlignment="1" pivotButton="0" quotePrefix="0" xfId="0">
      <alignment vertical="center"/>
    </xf>
    <xf numFmtId="166" fontId="20" fillId="0" borderId="14" applyAlignment="1" pivotButton="0" quotePrefix="0" xfId="0">
      <alignment vertical="center"/>
    </xf>
    <xf numFmtId="0" fontId="15" fillId="8" borderId="1" applyAlignment="1" pivotButton="0" quotePrefix="0" xfId="0">
      <alignment vertical="center"/>
    </xf>
    <xf numFmtId="0" fontId="19" fillId="0" borderId="15" applyAlignment="1" pivotButton="0" quotePrefix="0" xfId="0">
      <alignment vertical="center"/>
    </xf>
    <xf numFmtId="164" fontId="20" fillId="0" borderId="16" applyAlignment="1" pivotButton="0" quotePrefix="0" xfId="0">
      <alignment vertical="center"/>
    </xf>
    <xf numFmtId="164" fontId="20" fillId="0" borderId="17" applyAlignment="1" pivotButton="0" quotePrefix="0" xfId="0">
      <alignment vertical="center"/>
    </xf>
    <xf numFmtId="0" fontId="15" fillId="7" borderId="16" applyAlignment="1" pivotButton="0" quotePrefix="0" xfId="0">
      <alignment vertical="center"/>
    </xf>
    <xf numFmtId="0" fontId="16" fillId="0" borderId="17" applyAlignment="1" pivotButton="0" quotePrefix="0" xfId="0">
      <alignment vertical="center" wrapText="1"/>
    </xf>
    <xf numFmtId="0" fontId="21" fillId="5" borderId="10" applyAlignment="1" pivotButton="0" quotePrefix="0" xfId="0">
      <alignment vertical="center"/>
    </xf>
    <xf numFmtId="0" fontId="21" fillId="5" borderId="11" applyAlignment="1" pivotButton="0" quotePrefix="0" xfId="0">
      <alignment vertical="center"/>
    </xf>
    <xf numFmtId="0" fontId="21" fillId="5" borderId="12" applyAlignment="1" pivotButton="0" quotePrefix="0" xfId="0">
      <alignment vertical="center"/>
    </xf>
    <xf numFmtId="0" fontId="22" fillId="0" borderId="13" applyAlignment="1" pivotButton="0" quotePrefix="0" xfId="0">
      <alignment vertical="center"/>
    </xf>
    <xf numFmtId="165" fontId="20" fillId="0" borderId="1" applyAlignment="1" pivotButton="0" quotePrefix="0" xfId="0">
      <alignment vertical="center"/>
    </xf>
    <xf numFmtId="165" fontId="20" fillId="0" borderId="14" applyAlignment="1" pivotButton="0" quotePrefix="0" xfId="0">
      <alignment vertical="center"/>
    </xf>
    <xf numFmtId="0" fontId="22" fillId="0" borderId="15" applyAlignment="1" pivotButton="0" quotePrefix="0" xfId="0">
      <alignment vertical="center"/>
    </xf>
    <xf numFmtId="0" fontId="15" fillId="2" borderId="0" applyAlignment="1" pivotButton="0" quotePrefix="0" xfId="0">
      <alignment horizontal="left" vertical="top"/>
    </xf>
    <xf numFmtId="0" fontId="17" fillId="3" borderId="0" applyAlignment="1" pivotButton="0" quotePrefix="0" xfId="0">
      <alignment vertical="top"/>
    </xf>
    <xf numFmtId="0" fontId="16" fillId="0" borderId="0" applyAlignment="1" pivotButton="0" quotePrefix="0" xfId="0">
      <alignment vertical="top"/>
    </xf>
    <xf numFmtId="0" fontId="15" fillId="2" borderId="2" applyAlignment="1" pivotButton="0" quotePrefix="0" xfId="0">
      <alignment vertical="top"/>
    </xf>
    <xf numFmtId="0" fontId="15" fillId="2" borderId="3" applyAlignment="1" pivotButton="0" quotePrefix="0" xfId="0">
      <alignment vertical="top"/>
    </xf>
    <xf numFmtId="0" fontId="15" fillId="2" borderId="4" applyAlignment="1" pivotButton="0" quotePrefix="0" xfId="0">
      <alignment vertical="top"/>
    </xf>
    <xf numFmtId="0" fontId="19" fillId="0" borderId="5" applyAlignment="1" pivotButton="0" quotePrefix="0" xfId="0">
      <alignment vertical="top"/>
    </xf>
    <xf numFmtId="0" fontId="23" fillId="0" borderId="0" applyAlignment="1" pivotButton="0" quotePrefix="0" xfId="0">
      <alignment vertical="top" wrapText="1"/>
    </xf>
    <xf numFmtId="0" fontId="16" fillId="0" borderId="0" applyAlignment="1" pivotButton="0" quotePrefix="0" xfId="0">
      <alignment vertical="top" wrapText="1"/>
    </xf>
    <xf numFmtId="0" fontId="16" fillId="0" borderId="6" applyAlignment="1" pivotButton="0" quotePrefix="0" xfId="0">
      <alignment vertical="top" wrapText="1"/>
    </xf>
    <xf numFmtId="0" fontId="23" fillId="0" borderId="0" applyAlignment="1" pivotButton="0" quotePrefix="0" xfId="0">
      <alignment vertical="top"/>
    </xf>
    <xf numFmtId="164" fontId="24" fillId="4" borderId="0" applyAlignment="1" pivotButton="0" quotePrefix="0" xfId="0">
      <alignment vertical="top"/>
    </xf>
    <xf numFmtId="165" fontId="24" fillId="4" borderId="0" applyAlignment="1" pivotButton="0" quotePrefix="0" xfId="0">
      <alignment vertical="top"/>
    </xf>
    <xf numFmtId="166" fontId="24" fillId="4" borderId="0" applyAlignment="1" pivotButton="0" quotePrefix="0" xfId="0">
      <alignment vertical="top"/>
    </xf>
    <xf numFmtId="0" fontId="19" fillId="0" borderId="7" applyAlignment="1" pivotButton="0" quotePrefix="0" xfId="0">
      <alignment vertical="top"/>
    </xf>
    <xf numFmtId="0" fontId="23" fillId="0" borderId="8" applyAlignment="1" pivotButton="0" quotePrefix="0" xfId="0">
      <alignment vertical="top"/>
    </xf>
    <xf numFmtId="0" fontId="16" fillId="0" borderId="8" applyAlignment="1" pivotButton="0" quotePrefix="0" xfId="0">
      <alignment vertical="top"/>
    </xf>
    <xf numFmtId="0" fontId="16" fillId="0" borderId="8" applyAlignment="1" pivotButton="0" quotePrefix="0" xfId="0">
      <alignment vertical="top" wrapText="1"/>
    </xf>
    <xf numFmtId="0" fontId="16" fillId="0" borderId="9" applyAlignment="1" pivotButton="0" quotePrefix="0" xfId="0">
      <alignment vertical="top" wrapText="1"/>
    </xf>
    <xf numFmtId="0" fontId="15" fillId="2" borderId="1" applyAlignment="1" pivotButton="0" quotePrefix="0" xfId="0">
      <alignment horizontal="left" vertical="top"/>
    </xf>
    <xf numFmtId="0" fontId="17" fillId="3" borderId="1" applyAlignment="1" pivotButton="0" quotePrefix="0" xfId="0">
      <alignment vertical="top"/>
    </xf>
    <xf numFmtId="0" fontId="16" fillId="0" borderId="1" applyAlignment="1" pivotButton="0" quotePrefix="0" xfId="0">
      <alignment vertical="top"/>
    </xf>
    <xf numFmtId="0" fontId="15" fillId="2" borderId="10" applyAlignment="1" pivotButton="0" quotePrefix="0" xfId="0">
      <alignment vertical="top"/>
    </xf>
    <xf numFmtId="0" fontId="15" fillId="2" borderId="11" applyAlignment="1" pivotButton="0" quotePrefix="0" xfId="0">
      <alignment vertical="top"/>
    </xf>
    <xf numFmtId="0" fontId="15" fillId="2" borderId="12" applyAlignment="1" pivotButton="0" quotePrefix="0" xfId="0">
      <alignment vertical="top"/>
    </xf>
    <xf numFmtId="0" fontId="19" fillId="0" borderId="13" applyAlignment="1" pivotButton="0" quotePrefix="0" xfId="0">
      <alignment vertical="top"/>
    </xf>
    <xf numFmtId="0" fontId="23" fillId="0" borderId="1" applyAlignment="1" pivotButton="0" quotePrefix="0" xfId="0">
      <alignment vertical="top" wrapText="1"/>
    </xf>
    <xf numFmtId="0" fontId="16" fillId="0" borderId="1" applyAlignment="1" pivotButton="0" quotePrefix="0" xfId="0">
      <alignment vertical="top" wrapText="1"/>
    </xf>
    <xf numFmtId="0" fontId="16" fillId="0" borderId="14" applyAlignment="1" pivotButton="0" quotePrefix="0" xfId="0">
      <alignment vertical="top" wrapText="1"/>
    </xf>
    <xf numFmtId="0" fontId="23" fillId="0" borderId="1" applyAlignment="1" pivotButton="0" quotePrefix="0" xfId="0">
      <alignment vertical="top"/>
    </xf>
    <xf numFmtId="164" fontId="24" fillId="4" borderId="1" applyAlignment="1" pivotButton="0" quotePrefix="0" xfId="0">
      <alignment vertical="top"/>
    </xf>
    <xf numFmtId="165" fontId="24" fillId="4" borderId="1" applyAlignment="1" pivotButton="0" quotePrefix="0" xfId="0">
      <alignment vertical="top"/>
    </xf>
    <xf numFmtId="166" fontId="24" fillId="4" borderId="1" applyAlignment="1" pivotButton="0" quotePrefix="0" xfId="0">
      <alignment vertical="top"/>
    </xf>
    <xf numFmtId="0" fontId="19" fillId="0" borderId="15" applyAlignment="1" pivotButton="0" quotePrefix="0" xfId="0">
      <alignment vertical="top"/>
    </xf>
    <xf numFmtId="0" fontId="23" fillId="0" borderId="16" applyAlignment="1" pivotButton="0" quotePrefix="0" xfId="0">
      <alignment vertical="top"/>
    </xf>
    <xf numFmtId="0" fontId="16" fillId="0" borderId="16" applyAlignment="1" pivotButton="0" quotePrefix="0" xfId="0">
      <alignment vertical="top"/>
    </xf>
    <xf numFmtId="0" fontId="16" fillId="0" borderId="16" applyAlignment="1" pivotButton="0" quotePrefix="0" xfId="0">
      <alignment vertical="top" wrapText="1"/>
    </xf>
    <xf numFmtId="0" fontId="16" fillId="0" borderId="17" applyAlignment="1" pivotButton="0" quotePrefix="0" xfId="0">
      <alignment vertical="top" wrapText="1"/>
    </xf>
    <xf numFmtId="0" fontId="15" fillId="2" borderId="2" applyAlignment="1" pivotButton="0" quotePrefix="0" xfId="0">
      <alignment horizontal="left" vertical="center"/>
    </xf>
    <xf numFmtId="0" fontId="15" fillId="2" borderId="3" applyAlignment="1" pivotButton="0" quotePrefix="0" xfId="0">
      <alignment horizontal="left" vertical="center"/>
    </xf>
    <xf numFmtId="0" fontId="15" fillId="2" borderId="4" applyAlignment="1" pivotButton="0" quotePrefix="0" xfId="0">
      <alignment horizontal="left" vertical="center"/>
    </xf>
    <xf numFmtId="0" fontId="21" fillId="5" borderId="5" applyAlignment="1" pivotButton="0" quotePrefix="0" xfId="0">
      <alignment vertical="center"/>
    </xf>
    <xf numFmtId="0" fontId="21" fillId="5" borderId="0" applyAlignment="1" pivotButton="0" quotePrefix="0" xfId="0">
      <alignment vertical="center"/>
    </xf>
    <xf numFmtId="0" fontId="21" fillId="5" borderId="6" applyAlignment="1" pivotButton="0" quotePrefix="0" xfId="0">
      <alignment vertical="center"/>
    </xf>
    <xf numFmtId="165" fontId="16" fillId="0" borderId="0" applyAlignment="1" pivotButton="0" quotePrefix="0" xfId="0">
      <alignment vertical="center"/>
    </xf>
    <xf numFmtId="164" fontId="16" fillId="0" borderId="0" applyAlignment="1" pivotButton="0" quotePrefix="0" xfId="0">
      <alignment vertical="center"/>
    </xf>
    <xf numFmtId="164" fontId="25" fillId="0" borderId="0" applyAlignment="1" pivotButton="0" quotePrefix="0" xfId="0">
      <alignment vertical="center"/>
    </xf>
    <xf numFmtId="166" fontId="25" fillId="0" borderId="0" applyAlignment="1" pivotButton="0" quotePrefix="0" xfId="0">
      <alignment vertical="center"/>
    </xf>
    <xf numFmtId="0" fontId="26" fillId="6" borderId="5" applyAlignment="1" pivotButton="0" quotePrefix="0" xfId="0">
      <alignment vertical="center"/>
    </xf>
    <xf numFmtId="164" fontId="21" fillId="6" borderId="0" applyAlignment="1" pivotButton="0" quotePrefix="0" xfId="0">
      <alignment vertical="center"/>
    </xf>
    <xf numFmtId="0" fontId="26" fillId="6" borderId="6" applyAlignment="1" pivotButton="0" quotePrefix="0" xfId="0">
      <alignment vertical="center" wrapText="1"/>
    </xf>
    <xf numFmtId="165" fontId="25" fillId="0" borderId="0" applyAlignment="1" pivotButton="0" quotePrefix="0" xfId="0">
      <alignment vertical="center"/>
    </xf>
    <xf numFmtId="0" fontId="16" fillId="0" borderId="5" applyAlignment="1" pivotButton="0" quotePrefix="0" xfId="0">
      <alignment vertical="center"/>
    </xf>
    <xf numFmtId="0" fontId="15" fillId="2" borderId="5" applyAlignment="1" pivotButton="0" quotePrefix="0" xfId="0">
      <alignment horizontal="left" vertical="center"/>
    </xf>
    <xf numFmtId="164" fontId="21" fillId="2" borderId="0" applyAlignment="1" pivotButton="0" quotePrefix="0" xfId="0">
      <alignment horizontal="left" vertical="center"/>
    </xf>
    <xf numFmtId="0" fontId="15" fillId="2" borderId="6" applyAlignment="1" pivotButton="0" quotePrefix="0" xfId="0">
      <alignment horizontal="left" vertical="center" wrapText="1"/>
    </xf>
    <xf numFmtId="164" fontId="21" fillId="5" borderId="0" applyAlignment="1" pivotButton="0" quotePrefix="0" xfId="0">
      <alignment vertical="center"/>
    </xf>
    <xf numFmtId="0" fontId="21" fillId="5" borderId="6" applyAlignment="1" pivotButton="0" quotePrefix="0" xfId="0">
      <alignment vertical="center" wrapText="1"/>
    </xf>
    <xf numFmtId="0" fontId="16" fillId="0" borderId="7" applyAlignment="1" pivotButton="0" quotePrefix="0" xfId="0">
      <alignment vertical="center"/>
    </xf>
    <xf numFmtId="164" fontId="25" fillId="0" borderId="8" applyAlignment="1" pivotButton="0" quotePrefix="0" xfId="0">
      <alignment vertical="center"/>
    </xf>
    <xf numFmtId="0" fontId="15" fillId="2" borderId="10" applyAlignment="1" pivotButton="0" quotePrefix="0" xfId="0">
      <alignment horizontal="left" vertical="center"/>
    </xf>
    <xf numFmtId="0" fontId="15" fillId="2" borderId="11" applyAlignment="1" pivotButton="0" quotePrefix="0" xfId="0">
      <alignment horizontal="left" vertical="center"/>
    </xf>
    <xf numFmtId="0" fontId="15" fillId="2" borderId="12" applyAlignment="1" pivotButton="0" quotePrefix="0" xfId="0">
      <alignment horizontal="left" vertical="center"/>
    </xf>
    <xf numFmtId="0" fontId="21" fillId="5" borderId="13" applyAlignment="1" pivotButton="0" quotePrefix="0" xfId="0">
      <alignment vertical="center"/>
    </xf>
    <xf numFmtId="0" fontId="21" fillId="5" borderId="1" applyAlignment="1" pivotButton="0" quotePrefix="0" xfId="0">
      <alignment vertical="center"/>
    </xf>
    <xf numFmtId="0" fontId="21" fillId="5" borderId="14" applyAlignment="1" pivotButton="0" quotePrefix="0" xfId="0">
      <alignment vertical="center"/>
    </xf>
    <xf numFmtId="165" fontId="16" fillId="0" borderId="1" applyAlignment="1" pivotButton="0" quotePrefix="0" xfId="0">
      <alignment vertical="center"/>
    </xf>
    <xf numFmtId="164" fontId="16" fillId="0" borderId="1" applyAlignment="1" pivotButton="0" quotePrefix="0" xfId="0">
      <alignment vertical="center"/>
    </xf>
    <xf numFmtId="164" fontId="25" fillId="0" borderId="1" applyAlignment="1" pivotButton="0" quotePrefix="0" xfId="0">
      <alignment vertical="center"/>
    </xf>
    <xf numFmtId="166" fontId="25" fillId="0" borderId="1" applyAlignment="1" pivotButton="0" quotePrefix="0" xfId="0">
      <alignment vertical="center"/>
    </xf>
    <xf numFmtId="0" fontId="26" fillId="6" borderId="13" applyAlignment="1" pivotButton="0" quotePrefix="0" xfId="0">
      <alignment vertical="center"/>
    </xf>
    <xf numFmtId="164" fontId="21" fillId="6" borderId="1" applyAlignment="1" pivotButton="0" quotePrefix="0" xfId="0">
      <alignment vertical="center"/>
    </xf>
    <xf numFmtId="0" fontId="26" fillId="6" borderId="14" applyAlignment="1" pivotButton="0" quotePrefix="0" xfId="0">
      <alignment vertical="center" wrapText="1"/>
    </xf>
    <xf numFmtId="165" fontId="25" fillId="0" borderId="1" applyAlignment="1" pivotButton="0" quotePrefix="0" xfId="0">
      <alignment vertical="center"/>
    </xf>
    <xf numFmtId="0" fontId="16" fillId="0" borderId="13" applyAlignment="1" pivotButton="0" quotePrefix="0" xfId="0">
      <alignment vertical="center"/>
    </xf>
    <xf numFmtId="0" fontId="15" fillId="2" borderId="13" applyAlignment="1" pivotButton="0" quotePrefix="0" xfId="0">
      <alignment horizontal="left" vertical="center"/>
    </xf>
    <xf numFmtId="164" fontId="21" fillId="2" borderId="1" applyAlignment="1" pivotButton="0" quotePrefix="0" xfId="0">
      <alignment horizontal="left" vertical="center"/>
    </xf>
    <xf numFmtId="0" fontId="15" fillId="2" borderId="14" applyAlignment="1" pivotButton="0" quotePrefix="0" xfId="0">
      <alignment horizontal="left" vertical="center" wrapText="1"/>
    </xf>
    <xf numFmtId="164" fontId="21" fillId="5" borderId="1" applyAlignment="1" pivotButton="0" quotePrefix="0" xfId="0">
      <alignment vertical="center"/>
    </xf>
    <xf numFmtId="0" fontId="21" fillId="5" borderId="14" applyAlignment="1" pivotButton="0" quotePrefix="0" xfId="0">
      <alignment vertical="center" wrapText="1"/>
    </xf>
    <xf numFmtId="0" fontId="16" fillId="0" borderId="15" applyAlignment="1" pivotButton="0" quotePrefix="0" xfId="0">
      <alignment vertical="center"/>
    </xf>
    <xf numFmtId="164" fontId="25" fillId="0" borderId="16" applyAlignment="1" pivotButton="0" quotePrefix="0" xfId="0">
      <alignment vertical="center"/>
    </xf>
    <xf numFmtId="0" fontId="17" fillId="3" borderId="0" pivotButton="0" quotePrefix="0" xfId="0"/>
    <xf numFmtId="0" fontId="15" fillId="2" borderId="0" applyAlignment="1" pivotButton="0" quotePrefix="0" xfId="0">
      <alignment horizontal="left"/>
    </xf>
    <xf numFmtId="0" fontId="21" fillId="5" borderId="2" pivotButton="0" quotePrefix="0" xfId="0"/>
    <xf numFmtId="0" fontId="21" fillId="5" borderId="3" pivotButton="0" quotePrefix="0" xfId="0"/>
    <xf numFmtId="0" fontId="21" fillId="5" borderId="4" pivotButton="0" quotePrefix="0" xfId="0"/>
    <xf numFmtId="0" fontId="16" fillId="0" borderId="5" pivotButton="0" quotePrefix="0" xfId="0"/>
    <xf numFmtId="165" fontId="20" fillId="0" borderId="0" pivotButton="0" quotePrefix="0" xfId="0"/>
    <xf numFmtId="0" fontId="15" fillId="8" borderId="0" pivotButton="0" quotePrefix="0" xfId="0"/>
    <xf numFmtId="0" fontId="16" fillId="0" borderId="6" applyAlignment="1" pivotButton="0" quotePrefix="0" xfId="0">
      <alignment wrapText="1"/>
    </xf>
    <xf numFmtId="166" fontId="20" fillId="0" borderId="0" pivotButton="0" quotePrefix="0" xfId="0"/>
    <xf numFmtId="0" fontId="15" fillId="7" borderId="0" pivotButton="0" quotePrefix="0" xfId="0"/>
    <xf numFmtId="0" fontId="21" fillId="10" borderId="0" pivotButton="0" quotePrefix="0" xfId="0"/>
    <xf numFmtId="0" fontId="16" fillId="0" borderId="7" pivotButton="0" quotePrefix="0" xfId="0"/>
    <xf numFmtId="0" fontId="16" fillId="0" borderId="8" pivotButton="0" quotePrefix="0" xfId="0"/>
    <xf numFmtId="164" fontId="20" fillId="0" borderId="8" pivotButton="0" quotePrefix="0" xfId="0"/>
    <xf numFmtId="0" fontId="15" fillId="7" borderId="8" pivotButton="0" quotePrefix="0" xfId="0"/>
    <xf numFmtId="0" fontId="16" fillId="0" borderId="9" applyAlignment="1" pivotButton="0" quotePrefix="0" xfId="0">
      <alignment wrapText="1"/>
    </xf>
    <xf numFmtId="0" fontId="16" fillId="0" borderId="5" applyAlignment="1" pivotButton="0" quotePrefix="0" xfId="0">
      <alignment wrapText="1"/>
    </xf>
    <xf numFmtId="0" fontId="16" fillId="0" borderId="0" applyAlignment="1" pivotButton="0" quotePrefix="0" xfId="0">
      <alignment wrapText="1"/>
    </xf>
    <xf numFmtId="0" fontId="16" fillId="0" borderId="7" applyAlignment="1" pivotButton="0" quotePrefix="0" xfId="0">
      <alignment wrapText="1"/>
    </xf>
    <xf numFmtId="0" fontId="16" fillId="0" borderId="8" applyAlignment="1" pivotButton="0" quotePrefix="0" xfId="0">
      <alignment wrapText="1"/>
    </xf>
    <xf numFmtId="0" fontId="17" fillId="3" borderId="1" pivotButton="0" quotePrefix="0" xfId="0"/>
    <xf numFmtId="0" fontId="15" fillId="2" borderId="1" applyAlignment="1" pivotButton="0" quotePrefix="0" xfId="0">
      <alignment horizontal="left"/>
    </xf>
    <xf numFmtId="0" fontId="21" fillId="5" borderId="10" pivotButton="0" quotePrefix="0" xfId="0"/>
    <xf numFmtId="0" fontId="21" fillId="5" borderId="11" pivotButton="0" quotePrefix="0" xfId="0"/>
    <xf numFmtId="0" fontId="21" fillId="5" borderId="12" pivotButton="0" quotePrefix="0" xfId="0"/>
    <xf numFmtId="0" fontId="16" fillId="0" borderId="13" pivotButton="0" quotePrefix="0" xfId="0"/>
    <xf numFmtId="165" fontId="20" fillId="0" borderId="1" pivotButton="0" quotePrefix="0" xfId="0"/>
    <xf numFmtId="0" fontId="15" fillId="8" borderId="1" pivotButton="0" quotePrefix="0" xfId="0"/>
    <xf numFmtId="0" fontId="16" fillId="0" borderId="14" applyAlignment="1" pivotButton="0" quotePrefix="0" xfId="0">
      <alignment wrapText="1"/>
    </xf>
    <xf numFmtId="166" fontId="20" fillId="0" borderId="1" pivotButton="0" quotePrefix="0" xfId="0"/>
    <xf numFmtId="0" fontId="15" fillId="7" borderId="1" pivotButton="0" quotePrefix="0" xfId="0"/>
    <xf numFmtId="0" fontId="21" fillId="10" borderId="1" pivotButton="0" quotePrefix="0" xfId="0"/>
    <xf numFmtId="0" fontId="16" fillId="0" borderId="15" pivotButton="0" quotePrefix="0" xfId="0"/>
    <xf numFmtId="0" fontId="16" fillId="0" borderId="16" pivotButton="0" quotePrefix="0" xfId="0"/>
    <xf numFmtId="164" fontId="20" fillId="0" borderId="16" pivotButton="0" quotePrefix="0" xfId="0"/>
    <xf numFmtId="0" fontId="15" fillId="7" borderId="16" pivotButton="0" quotePrefix="0" xfId="0"/>
    <xf numFmtId="0" fontId="16" fillId="0" borderId="17" applyAlignment="1" pivotButton="0" quotePrefix="0" xfId="0">
      <alignment wrapText="1"/>
    </xf>
    <xf numFmtId="0" fontId="16" fillId="0" borderId="13" applyAlignment="1" pivotButton="0" quotePrefix="0" xfId="0">
      <alignment wrapText="1"/>
    </xf>
    <xf numFmtId="0" fontId="16" fillId="0" borderId="1" applyAlignment="1" pivotButton="0" quotePrefix="0" xfId="0">
      <alignment wrapText="1"/>
    </xf>
    <xf numFmtId="0" fontId="16" fillId="0" borderId="15" applyAlignment="1" pivotButton="0" quotePrefix="0" xfId="0">
      <alignment wrapText="1"/>
    </xf>
    <xf numFmtId="0" fontId="16" fillId="0" borderId="16" applyAlignment="1" pivotButton="0" quotePrefix="0" xfId="0">
      <alignment wrapText="1"/>
    </xf>
    <xf numFmtId="0" fontId="21" fillId="11" borderId="0" pivotButton="0" quotePrefix="0" xfId="0"/>
    <xf numFmtId="0" fontId="15" fillId="12" borderId="8" pivotButton="0" quotePrefix="0" xfId="0"/>
    <xf numFmtId="0" fontId="21" fillId="11" borderId="1" pivotButton="0" quotePrefix="0" xfId="0"/>
    <xf numFmtId="0" fontId="15" fillId="12" borderId="16" pivotButton="0" quotePrefix="0" xfId="0"/>
    <xf numFmtId="0" fontId="15" fillId="7" borderId="0" applyAlignment="1" pivotButton="0" quotePrefix="0" xfId="0">
      <alignment wrapText="1"/>
    </xf>
    <xf numFmtId="0" fontId="15" fillId="8" borderId="0" applyAlignment="1" pivotButton="0" quotePrefix="0" xfId="0">
      <alignment wrapText="1"/>
    </xf>
    <xf numFmtId="0" fontId="21" fillId="10" borderId="0" applyAlignment="1" pivotButton="0" quotePrefix="0" xfId="0">
      <alignment wrapText="1"/>
    </xf>
    <xf numFmtId="0" fontId="15" fillId="8" borderId="8" applyAlignment="1" pivotButton="0" quotePrefix="0" xfId="0">
      <alignment wrapText="1"/>
    </xf>
    <xf numFmtId="0" fontId="15" fillId="7" borderId="1" applyAlignment="1" pivotButton="0" quotePrefix="0" xfId="0">
      <alignment wrapText="1"/>
    </xf>
    <xf numFmtId="0" fontId="15" fillId="8" borderId="1" applyAlignment="1" pivotButton="0" quotePrefix="0" xfId="0">
      <alignment wrapText="1"/>
    </xf>
    <xf numFmtId="0" fontId="21" fillId="10" borderId="1" applyAlignment="1" pivotButton="0" quotePrefix="0" xfId="0">
      <alignment wrapText="1"/>
    </xf>
    <xf numFmtId="0" fontId="15" fillId="8" borderId="16" applyAlignment="1" pivotButton="0" quotePrefix="0" xfId="0">
      <alignment wrapText="1"/>
    </xf>
    <xf numFmtId="0" fontId="24" fillId="0" borderId="5" pivotButton="0" quotePrefix="0" xfId="0"/>
    <xf numFmtId="0" fontId="21" fillId="0" borderId="5" pivotButton="0" quotePrefix="0" xfId="0"/>
    <xf numFmtId="0" fontId="27" fillId="0" borderId="5" pivotButton="0" quotePrefix="0" xfId="0"/>
    <xf numFmtId="0" fontId="19" fillId="4" borderId="5" pivotButton="0" quotePrefix="0" xfId="0"/>
    <xf numFmtId="0" fontId="27" fillId="0" borderId="7" pivotButton="0" quotePrefix="0" xfId="0"/>
    <xf numFmtId="0" fontId="24" fillId="0" borderId="13" pivotButton="0" quotePrefix="0" xfId="0"/>
    <xf numFmtId="0" fontId="21" fillId="0" borderId="13" pivotButton="0" quotePrefix="0" xfId="0"/>
    <xf numFmtId="0" fontId="27" fillId="0" borderId="13" pivotButton="0" quotePrefix="0" xfId="0"/>
    <xf numFmtId="0" fontId="19" fillId="4" borderId="13" pivotButton="0" quotePrefix="0" xfId="0"/>
    <xf numFmtId="0" fontId="27" fillId="0" borderId="15" pivotButton="0" quotePrefix="0" xfId="0"/>
    <xf numFmtId="0" fontId="28" fillId="2" borderId="0" applyAlignment="1" pivotButton="0" quotePrefix="0" xfId="0">
      <alignment horizontal="left" vertical="center"/>
    </xf>
    <xf numFmtId="0" fontId="28" fillId="0" borderId="0" pivotButton="0" quotePrefix="0" xfId="0"/>
    <xf numFmtId="0" fontId="28" fillId="2" borderId="1" applyAlignment="1" pivotButton="0" quotePrefix="0" xfId="0">
      <alignment horizontal="left" vertical="center"/>
    </xf>
    <xf numFmtId="0" fontId="28" fillId="0" borderId="1" pivotButton="0" quotePrefix="0" xfId="0"/>
    <xf numFmtId="0" fontId="28" fillId="2" borderId="0" applyAlignment="1" pivotButton="0" quotePrefix="0" xfId="0">
      <alignment horizontal="left" vertical="top"/>
    </xf>
    <xf numFmtId="0" fontId="28" fillId="2" borderId="1" applyAlignment="1" pivotButton="0" quotePrefix="0" xfId="0">
      <alignment horizontal="left" vertical="top"/>
    </xf>
    <xf numFmtId="0" fontId="28" fillId="2" borderId="0" pivotButton="0" quotePrefix="0" xfId="0"/>
    <xf numFmtId="0" fontId="28" fillId="2" borderId="1" pivotButton="0" quotePrefix="0" xfId="0"/>
    <xf numFmtId="0" fontId="16" fillId="3" borderId="0" pivotButton="0" quotePrefix="0" xfId="0"/>
    <xf numFmtId="0" fontId="16" fillId="3" borderId="1" pivotButton="0" quotePrefix="0" xfId="0"/>
    <xf numFmtId="0" fontId="16" fillId="2" borderId="0" pivotButton="0" quotePrefix="0" xfId="0"/>
    <xf numFmtId="0" fontId="16" fillId="2" borderId="1" pivotButton="0" quotePrefix="0" xfId="0"/>
    <xf numFmtId="0" fontId="15" fillId="2" borderId="0" pivotButton="0" quotePrefix="0" xfId="0"/>
    <xf numFmtId="0" fontId="15" fillId="2" borderId="1" pivotButton="0" quotePrefix="0" xfId="0"/>
    <xf numFmtId="0" fontId="16" fillId="7" borderId="6" applyAlignment="1" pivotButton="0" quotePrefix="0" xfId="0">
      <alignment vertical="center" wrapText="1"/>
    </xf>
    <xf numFmtId="0" fontId="16" fillId="7" borderId="14" applyAlignment="1" pivotButton="0" quotePrefix="0" xfId="0">
      <alignment vertical="center" wrapText="1"/>
    </xf>
    <xf numFmtId="0" fontId="15" fillId="7" borderId="6" applyAlignment="1" pivotButton="0" quotePrefix="0" xfId="0">
      <alignment vertical="center" wrapText="1"/>
    </xf>
    <xf numFmtId="0" fontId="15" fillId="7" borderId="14" applyAlignment="1" pivotButton="0" quotePrefix="0" xfId="0">
      <alignment vertical="center" wrapText="1"/>
    </xf>
    <xf numFmtId="0" fontId="16" fillId="8" borderId="6" applyAlignment="1" pivotButton="0" quotePrefix="0" xfId="0">
      <alignment vertical="center" wrapText="1"/>
    </xf>
    <xf numFmtId="0" fontId="16" fillId="8" borderId="14" applyAlignment="1" pivotButton="0" quotePrefix="0" xfId="0">
      <alignment vertical="center" wrapText="1"/>
    </xf>
    <xf numFmtId="0" fontId="15" fillId="8" borderId="6" applyAlignment="1" pivotButton="0" quotePrefix="0" xfId="0">
      <alignment vertical="center" wrapText="1"/>
    </xf>
    <xf numFmtId="0" fontId="15" fillId="8" borderId="14" applyAlignment="1" pivotButton="0" quotePrefix="0" xfId="0">
      <alignment vertical="center" wrapText="1"/>
    </xf>
    <xf numFmtId="0" fontId="16" fillId="7" borderId="9" applyAlignment="1" pivotButton="0" quotePrefix="0" xfId="0">
      <alignment vertical="center" wrapText="1"/>
    </xf>
    <xf numFmtId="0" fontId="16" fillId="7" borderId="17" applyAlignment="1" pivotButton="0" quotePrefix="0" xfId="0">
      <alignment vertical="center" wrapText="1"/>
    </xf>
    <xf numFmtId="0" fontId="15" fillId="7" borderId="9" applyAlignment="1" pivotButton="0" quotePrefix="0" xfId="0">
      <alignment vertical="center" wrapText="1"/>
    </xf>
    <xf numFmtId="0" fontId="15" fillId="7" borderId="17" applyAlignment="1" pivotButton="0" quotePrefix="0" xfId="0">
      <alignment vertical="center" wrapText="1"/>
    </xf>
    <xf numFmtId="0" fontId="15" fillId="2" borderId="4" pivotButton="0" quotePrefix="0" xfId="0"/>
    <xf numFmtId="0" fontId="15" fillId="2" borderId="12" pivotButton="0" quotePrefix="0" xfId="0"/>
    <xf numFmtId="0" fontId="28" fillId="9" borderId="0" pivotButton="0" quotePrefix="0" xfId="0"/>
    <xf numFmtId="0" fontId="28" fillId="9" borderId="1" pivotButton="0" quotePrefix="0" xfId="0"/>
    <xf numFmtId="164" fontId="29" fillId="0" borderId="0" applyAlignment="1" pivotButton="0" quotePrefix="0" xfId="0">
      <alignment vertical="center"/>
    </xf>
    <xf numFmtId="164" fontId="29" fillId="0" borderId="6" applyAlignment="1" pivotButton="0" quotePrefix="0" xfId="0">
      <alignment vertical="center"/>
    </xf>
    <xf numFmtId="166" fontId="29" fillId="0" borderId="0" applyAlignment="1" pivotButton="0" quotePrefix="0" xfId="0">
      <alignment vertical="center"/>
    </xf>
    <xf numFmtId="166" fontId="29" fillId="0" borderId="6" applyAlignment="1" pivotButton="0" quotePrefix="0" xfId="0">
      <alignment vertical="center"/>
    </xf>
    <xf numFmtId="164" fontId="29" fillId="0" borderId="8" applyAlignment="1" pivotButton="0" quotePrefix="0" xfId="0">
      <alignment vertical="center"/>
    </xf>
    <xf numFmtId="164" fontId="29" fillId="0" borderId="9" applyAlignment="1" pivotButton="0" quotePrefix="0" xfId="0">
      <alignment vertical="center"/>
    </xf>
    <xf numFmtId="164" fontId="29" fillId="0" borderId="1" applyAlignment="1" pivotButton="0" quotePrefix="0" xfId="0">
      <alignment vertical="center"/>
    </xf>
    <xf numFmtId="164" fontId="29" fillId="0" borderId="14" applyAlignment="1" pivotButton="0" quotePrefix="0" xfId="0">
      <alignment vertical="center"/>
    </xf>
    <xf numFmtId="166" fontId="29" fillId="0" borderId="1" applyAlignment="1" pivotButton="0" quotePrefix="0" xfId="0">
      <alignment vertical="center"/>
    </xf>
    <xf numFmtId="166" fontId="29" fillId="0" borderId="14" applyAlignment="1" pivotButton="0" quotePrefix="0" xfId="0">
      <alignment vertical="center"/>
    </xf>
    <xf numFmtId="164" fontId="29" fillId="0" borderId="16" applyAlignment="1" pivotButton="0" quotePrefix="0" xfId="0">
      <alignment vertical="center"/>
    </xf>
    <xf numFmtId="164" fontId="29" fillId="0" borderId="17" applyAlignment="1" pivotButton="0" quotePrefix="0" xfId="0">
      <alignment vertical="center"/>
    </xf>
    <xf numFmtId="165" fontId="29" fillId="0" borderId="0" applyAlignment="1" pivotButton="0" quotePrefix="0" xfId="0">
      <alignment vertical="center"/>
    </xf>
    <xf numFmtId="165" fontId="29" fillId="0" borderId="6" applyAlignment="1" pivotButton="0" quotePrefix="0" xfId="0">
      <alignment vertical="center"/>
    </xf>
    <xf numFmtId="165" fontId="29" fillId="0" borderId="1" applyAlignment="1" pivotButton="0" quotePrefix="0" xfId="0">
      <alignment vertical="center"/>
    </xf>
    <xf numFmtId="165" fontId="29" fillId="0" borderId="14" applyAlignment="1" pivotButton="0" quotePrefix="0" xfId="0">
      <alignment vertical="center"/>
    </xf>
    <xf numFmtId="164" fontId="29" fillId="0" borderId="0" applyAlignment="1" pivotButton="0" quotePrefix="0" xfId="0">
      <alignment horizontal="right" vertical="center"/>
    </xf>
    <xf numFmtId="164" fontId="29" fillId="0" borderId="6" applyAlignment="1" pivotButton="0" quotePrefix="0" xfId="0">
      <alignment horizontal="right" vertical="center"/>
    </xf>
    <xf numFmtId="166" fontId="29" fillId="0" borderId="0" applyAlignment="1" pivotButton="0" quotePrefix="0" xfId="0">
      <alignment horizontal="right" vertical="center"/>
    </xf>
    <xf numFmtId="166" fontId="29" fillId="0" borderId="6" applyAlignment="1" pivotButton="0" quotePrefix="0" xfId="0">
      <alignment horizontal="right" vertical="center"/>
    </xf>
    <xf numFmtId="164" fontId="29" fillId="0" borderId="8" applyAlignment="1" pivotButton="0" quotePrefix="0" xfId="0">
      <alignment horizontal="right" vertical="center"/>
    </xf>
    <xf numFmtId="164" fontId="29" fillId="0" borderId="9" applyAlignment="1" pivotButton="0" quotePrefix="0" xfId="0">
      <alignment horizontal="right" vertical="center"/>
    </xf>
    <xf numFmtId="164" fontId="29" fillId="0" borderId="1" applyAlignment="1" pivotButton="0" quotePrefix="0" xfId="0">
      <alignment horizontal="right" vertical="center"/>
    </xf>
    <xf numFmtId="164" fontId="29" fillId="0" borderId="14" applyAlignment="1" pivotButton="0" quotePrefix="0" xfId="0">
      <alignment horizontal="right" vertical="center"/>
    </xf>
    <xf numFmtId="166" fontId="29" fillId="0" borderId="1" applyAlignment="1" pivotButton="0" quotePrefix="0" xfId="0">
      <alignment horizontal="right" vertical="center"/>
    </xf>
    <xf numFmtId="166" fontId="29" fillId="0" borderId="14" applyAlignment="1" pivotButton="0" quotePrefix="0" xfId="0">
      <alignment horizontal="right" vertical="center"/>
    </xf>
    <xf numFmtId="164" fontId="29" fillId="0" borderId="16" applyAlignment="1" pivotButton="0" quotePrefix="0" xfId="0">
      <alignment horizontal="right" vertical="center"/>
    </xf>
    <xf numFmtId="164" fontId="29" fillId="0" borderId="17" applyAlignment="1" pivotButton="0" quotePrefix="0" xfId="0">
      <alignment horizontal="right" vertical="center"/>
    </xf>
    <xf numFmtId="165" fontId="29" fillId="0" borderId="0" applyAlignment="1" pivotButton="0" quotePrefix="0" xfId="0">
      <alignment horizontal="right" vertical="center"/>
    </xf>
    <xf numFmtId="165" fontId="29" fillId="0" borderId="6" applyAlignment="1" pivotButton="0" quotePrefix="0" xfId="0">
      <alignment horizontal="right" vertical="center"/>
    </xf>
    <xf numFmtId="165" fontId="29" fillId="0" borderId="1" applyAlignment="1" pivotButton="0" quotePrefix="0" xfId="0">
      <alignment horizontal="right" vertical="center"/>
    </xf>
    <xf numFmtId="165" fontId="29" fillId="0" borderId="14" applyAlignment="1" pivotButton="0" quotePrefix="0" xfId="0">
      <alignment horizontal="right" vertical="center"/>
    </xf>
    <xf numFmtId="164" fontId="29" fillId="0" borderId="0" applyAlignment="1" pivotButton="0" quotePrefix="0" xfId="0">
      <alignment horizontal="center" vertical="center"/>
    </xf>
    <xf numFmtId="164" fontId="29" fillId="0" borderId="6" applyAlignment="1" pivotButton="0" quotePrefix="0" xfId="0">
      <alignment horizontal="center" vertical="center"/>
    </xf>
    <xf numFmtId="166" fontId="29" fillId="0" borderId="0" applyAlignment="1" pivotButton="0" quotePrefix="0" xfId="0">
      <alignment horizontal="center" vertical="center"/>
    </xf>
    <xf numFmtId="166" fontId="29" fillId="0" borderId="6" applyAlignment="1" pivotButton="0" quotePrefix="0" xfId="0">
      <alignment horizontal="center" vertical="center"/>
    </xf>
    <xf numFmtId="164" fontId="29" fillId="0" borderId="8" applyAlignment="1" pivotButton="0" quotePrefix="0" xfId="0">
      <alignment horizontal="center" vertical="center"/>
    </xf>
    <xf numFmtId="164" fontId="29" fillId="0" borderId="9" applyAlignment="1" pivotButton="0" quotePrefix="0" xfId="0">
      <alignment horizontal="center" vertical="center"/>
    </xf>
    <xf numFmtId="164" fontId="29" fillId="0" borderId="1" applyAlignment="1" pivotButton="0" quotePrefix="0" xfId="0">
      <alignment horizontal="center" vertical="center"/>
    </xf>
    <xf numFmtId="164" fontId="29" fillId="0" borderId="14" applyAlignment="1" pivotButton="0" quotePrefix="0" xfId="0">
      <alignment horizontal="center" vertical="center"/>
    </xf>
    <xf numFmtId="166" fontId="29" fillId="0" borderId="1" applyAlignment="1" pivotButton="0" quotePrefix="0" xfId="0">
      <alignment horizontal="center" vertical="center"/>
    </xf>
    <xf numFmtId="166" fontId="29" fillId="0" borderId="14" applyAlignment="1" pivotButton="0" quotePrefix="0" xfId="0">
      <alignment horizontal="center" vertical="center"/>
    </xf>
    <xf numFmtId="164" fontId="29" fillId="0" borderId="16" applyAlignment="1" pivotButton="0" quotePrefix="0" xfId="0">
      <alignment horizontal="center" vertical="center"/>
    </xf>
    <xf numFmtId="164" fontId="29" fillId="0" borderId="17" applyAlignment="1" pivotButton="0" quotePrefix="0" xfId="0">
      <alignment horizontal="center" vertical="center"/>
    </xf>
    <xf numFmtId="165" fontId="29" fillId="0" borderId="0" applyAlignment="1" pivotButton="0" quotePrefix="0" xfId="0">
      <alignment horizontal="center" vertical="center"/>
    </xf>
    <xf numFmtId="165" fontId="29" fillId="0" borderId="6" applyAlignment="1" pivotButton="0" quotePrefix="0" xfId="0">
      <alignment horizontal="center" vertical="center"/>
    </xf>
    <xf numFmtId="164" fontId="29" fillId="0" borderId="0" applyAlignment="1" pivotButton="0" quotePrefix="0" xfId="0">
      <alignment horizontal="center" vertical="center"/>
    </xf>
    <xf numFmtId="164" fontId="29" fillId="0" borderId="6" applyAlignment="1" pivotButton="0" quotePrefix="0" xfId="0">
      <alignment horizontal="center" vertical="center"/>
    </xf>
    <xf numFmtId="0" fontId="19" fillId="0" borderId="5" applyAlignment="1" pivotButton="0" quotePrefix="0" xfId="0">
      <alignment vertical="top" wrapText="1"/>
    </xf>
    <xf numFmtId="0" fontId="35" fillId="0" borderId="0" applyAlignment="1" pivotButton="0" quotePrefix="0" xfId="0">
      <alignment vertical="top" wrapText="1"/>
    </xf>
    <xf numFmtId="0" fontId="32" fillId="13" borderId="6" applyAlignment="1" pivotButton="0" quotePrefix="0" xfId="0">
      <alignment vertical="top" wrapText="1"/>
    </xf>
    <xf numFmtId="0" fontId="35" fillId="0" borderId="6" applyAlignment="1" pivotButton="0" quotePrefix="0" xfId="0">
      <alignment vertical="top" wrapText="1"/>
    </xf>
    <xf numFmtId="166" fontId="29" fillId="0" borderId="0" applyAlignment="1" pivotButton="0" quotePrefix="0" xfId="0">
      <alignment horizontal="center" vertical="center"/>
    </xf>
    <xf numFmtId="166" fontId="29" fillId="0" borderId="6" applyAlignment="1" pivotButton="0" quotePrefix="0" xfId="0">
      <alignment horizontal="center" vertical="center"/>
    </xf>
    <xf numFmtId="0" fontId="33" fillId="14" borderId="6" applyAlignment="1" pivotButton="0" quotePrefix="0" xfId="0">
      <alignment vertical="top" wrapText="1"/>
    </xf>
    <xf numFmtId="0" fontId="34" fillId="15" borderId="6" applyAlignment="1" pivotButton="0" quotePrefix="0" xfId="0">
      <alignment vertical="top" wrapText="1"/>
    </xf>
    <xf numFmtId="164" fontId="29" fillId="0" borderId="8" applyAlignment="1" pivotButton="0" quotePrefix="0" xfId="0">
      <alignment horizontal="center" vertical="center"/>
    </xf>
    <xf numFmtId="164" fontId="29" fillId="0" borderId="9" applyAlignment="1" pivotButton="0" quotePrefix="0" xfId="0">
      <alignment horizontal="center" vertical="center"/>
    </xf>
    <xf numFmtId="0" fontId="19" fillId="0" borderId="7" applyAlignment="1" pivotButton="0" quotePrefix="0" xfId="0">
      <alignment vertical="top" wrapText="1"/>
    </xf>
    <xf numFmtId="0" fontId="35" fillId="0" borderId="8" applyAlignment="1" pivotButton="0" quotePrefix="0" xfId="0">
      <alignment vertical="top" wrapText="1"/>
    </xf>
    <xf numFmtId="0" fontId="33" fillId="14" borderId="9" applyAlignment="1" pivotButton="0" quotePrefix="0" xfId="0">
      <alignment vertical="top" wrapText="1"/>
    </xf>
    <xf numFmtId="0" fontId="35" fillId="0" borderId="9" applyAlignment="1" pivotButton="0" quotePrefix="0" xfId="0">
      <alignment vertical="top" wrapText="1"/>
    </xf>
    <xf numFmtId="165" fontId="29" fillId="0" borderId="0" applyAlignment="1" pivotButton="0" quotePrefix="0" xfId="0">
      <alignment horizontal="center" vertical="center"/>
    </xf>
    <xf numFmtId="165" fontId="29" fillId="0" borderId="6" applyAlignment="1" pivotButton="0" quotePrefix="0" xfId="0">
      <alignment horizontal="center" vertical="center"/>
    </xf>
    <xf numFmtId="164" fontId="24" fillId="4" borderId="0" applyAlignment="1" pivotButton="0" quotePrefix="0" xfId="0">
      <alignment vertical="top" wrapText="1"/>
    </xf>
    <xf numFmtId="165" fontId="24" fillId="4" borderId="0" applyAlignment="1" pivotButton="0" quotePrefix="0" xfId="0">
      <alignment vertical="top" wrapText="1"/>
    </xf>
    <xf numFmtId="166" fontId="24" fillId="4" borderId="0" applyAlignment="1" pivotButton="0" quotePrefix="0" xfId="0">
      <alignment vertical="top" wrapText="1"/>
    </xf>
    <xf numFmtId="167" fontId="24" fillId="4" borderId="0" applyAlignment="1" pivotButton="0" quotePrefix="0" xfId="0">
      <alignment vertical="top" wrapText="1"/>
    </xf>
    <xf numFmtId="0" fontId="15" fillId="2" borderId="18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165" fontId="30" fillId="0" borderId="0" applyAlignment="1" pivotButton="0" quotePrefix="0" xfId="0">
      <alignment vertical="center"/>
    </xf>
    <xf numFmtId="165" fontId="31" fillId="0" borderId="0" applyAlignment="1" pivotButton="0" quotePrefix="0" xfId="0">
      <alignment vertical="center"/>
    </xf>
    <xf numFmtId="164" fontId="30" fillId="0" borderId="0" applyAlignment="1" pivotButton="0" quotePrefix="0" xfId="0">
      <alignment vertical="center"/>
    </xf>
    <xf numFmtId="164" fontId="31" fillId="0" borderId="0" applyAlignment="1" pivotButton="0" quotePrefix="0" xfId="0">
      <alignment vertical="center"/>
    </xf>
    <xf numFmtId="166" fontId="31" fillId="0" borderId="0" applyAlignment="1" pivotButton="0" quotePrefix="0" xfId="0">
      <alignment vertical="center"/>
    </xf>
    <xf numFmtId="164" fontId="25" fillId="0" borderId="0" applyAlignment="1" pivotButton="0" quotePrefix="0" xfId="0">
      <alignment vertical="center"/>
    </xf>
    <xf numFmtId="164" fontId="21" fillId="6" borderId="0" applyAlignment="1" pivotButton="0" quotePrefix="0" xfId="0">
      <alignment vertical="center"/>
    </xf>
    <xf numFmtId="166" fontId="25" fillId="0" borderId="0" applyAlignment="1" pivotButton="0" quotePrefix="0" xfId="0">
      <alignment vertical="center"/>
    </xf>
    <xf numFmtId="0" fontId="15" fillId="2" borderId="19" applyAlignment="1" pivotButton="0" quotePrefix="0" xfId="0">
      <alignment horizontal="left" vertical="center"/>
    </xf>
    <xf numFmtId="164" fontId="21" fillId="5" borderId="0" applyAlignment="1" pivotButton="0" quotePrefix="0" xfId="0">
      <alignment vertical="center"/>
    </xf>
    <xf numFmtId="164" fontId="30" fillId="0" borderId="8" applyAlignment="1" pivotButton="0" quotePrefix="0" xfId="0">
      <alignment vertical="center"/>
    </xf>
    <xf numFmtId="164" fontId="31" fillId="0" borderId="8" applyAlignment="1" pivotButton="0" quotePrefix="0" xfId="0">
      <alignment vertical="center"/>
    </xf>
    <xf numFmtId="0" fontId="36" fillId="0" borderId="5" pivotButton="0" quotePrefix="0" xfId="0"/>
    <xf numFmtId="0" fontId="36" fillId="0" borderId="0" pivotButton="0" quotePrefix="0" xfId="0"/>
    <xf numFmtId="165" fontId="35" fillId="0" borderId="0" pivotButton="0" quotePrefix="0" xfId="0"/>
    <xf numFmtId="0" fontId="34" fillId="15" borderId="0" pivotButton="0" quotePrefix="0" xfId="0"/>
    <xf numFmtId="0" fontId="31" fillId="0" borderId="6" applyAlignment="1" pivotButton="0" quotePrefix="0" xfId="0">
      <alignment vertical="top" wrapText="1"/>
    </xf>
    <xf numFmtId="166" fontId="35" fillId="0" borderId="0" pivotButton="0" quotePrefix="0" xfId="0"/>
    <xf numFmtId="0" fontId="32" fillId="13" borderId="0" pivotButton="0" quotePrefix="0" xfId="0"/>
    <xf numFmtId="0" fontId="37" fillId="16" borderId="0" pivotButton="0" quotePrefix="0" xfId="0"/>
    <xf numFmtId="0" fontId="36" fillId="0" borderId="7" pivotButton="0" quotePrefix="0" xfId="0"/>
    <xf numFmtId="0" fontId="36" fillId="0" borderId="8" pivotButton="0" quotePrefix="0" xfId="0"/>
    <xf numFmtId="164" fontId="35" fillId="0" borderId="8" pivotButton="0" quotePrefix="0" xfId="0"/>
    <xf numFmtId="0" fontId="32" fillId="13" borderId="8" pivotButton="0" quotePrefix="0" xfId="0"/>
    <xf numFmtId="0" fontId="31" fillId="0" borderId="9" applyAlignment="1" pivotButton="0" quotePrefix="0" xfId="0">
      <alignment vertical="top" wrapText="1"/>
    </xf>
    <xf numFmtId="0" fontId="21" fillId="5" borderId="2" applyAlignment="1" pivotButton="0" quotePrefix="0" xfId="0">
      <alignment vertical="top" wrapText="1"/>
    </xf>
    <xf numFmtId="0" fontId="21" fillId="5" borderId="3" applyAlignment="1" pivotButton="0" quotePrefix="0" xfId="0">
      <alignment vertical="top" wrapText="1"/>
    </xf>
    <xf numFmtId="0" fontId="21" fillId="5" borderId="4" applyAlignment="1" pivotButton="0" quotePrefix="0" xfId="0">
      <alignment vertical="top" wrapText="1"/>
    </xf>
    <xf numFmtId="0" fontId="16" fillId="0" borderId="5" applyAlignment="1" pivotButton="0" quotePrefix="0" xfId="0">
      <alignment vertical="top" wrapText="1"/>
    </xf>
    <xf numFmtId="0" fontId="16" fillId="0" borderId="7" applyAlignment="1" pivotButton="0" quotePrefix="0" xfId="0">
      <alignment vertical="top" wrapText="1"/>
    </xf>
    <xf numFmtId="0" fontId="38" fillId="17" borderId="8" pivotButton="0" quotePrefix="0" xfId="0"/>
    <xf numFmtId="0" fontId="31" fillId="0" borderId="0" applyAlignment="1" pivotButton="0" quotePrefix="0" xfId="0">
      <alignment vertical="top" wrapText="1"/>
    </xf>
    <xf numFmtId="0" fontId="32" fillId="13" borderId="0" applyAlignment="1" pivotButton="0" quotePrefix="0" xfId="0">
      <alignment wrapText="1"/>
    </xf>
    <xf numFmtId="0" fontId="33" fillId="14" borderId="0" applyAlignment="1" pivotButton="0" quotePrefix="0" xfId="0">
      <alignment wrapText="1"/>
    </xf>
    <xf numFmtId="0" fontId="34" fillId="15" borderId="0" applyAlignment="1" pivotButton="0" quotePrefix="0" xfId="0">
      <alignment wrapText="1"/>
    </xf>
    <xf numFmtId="0" fontId="37" fillId="16" borderId="0" applyAlignment="1" pivotButton="0" quotePrefix="0" xfId="0">
      <alignment wrapText="1"/>
    </xf>
    <xf numFmtId="0" fontId="31" fillId="0" borderId="8" applyAlignment="1" pivotButton="0" quotePrefix="0" xfId="0">
      <alignment vertical="top" wrapText="1"/>
    </xf>
    <xf numFmtId="0" fontId="33" fillId="14" borderId="8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Revenue, Net Income &amp; Cash by Year</a:t>
            </a:r>
          </a:p>
        </rich>
      </tx>
    </title>
    <plotArea>
      <layout/>
      <lineChart>
        <grouping val="standard"/>
        <ser>
          <idx val="0"/>
          <order val="0"/>
          <tx>
            <v>Revenue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'Dashboard'!$K$4:$M$4</f>
              <strCache>
                <ptCount val="0"/>
              </strCache>
            </strRef>
          </cat>
          <val>
            <numRef>
              <f>'Dashboard'!$K$5:$M$5</f>
              <numCache>
                <formatCode>$#,##0</formatCode>
                <ptCount val="0"/>
              </numCache>
            </numRef>
          </val>
          <smooth val="0"/>
        </ser>
        <ser>
          <idx val="1"/>
          <order val="1"/>
          <tx>
            <v>Net Income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'Dashboard'!$K$4:$M$4</f>
              <strCache>
                <ptCount val="0"/>
              </strCache>
            </strRef>
          </cat>
          <val>
            <numRef>
              <f>'Dashboard'!$K$6:$M$6</f>
              <numCache>
                <formatCode>$#,##0</formatCode>
                <ptCount val="0"/>
              </numCache>
            </numRef>
          </val>
          <smooth val="0"/>
        </ser>
        <ser>
          <idx val="2"/>
          <order val="2"/>
          <tx>
            <v>Ending Cash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'Dashboard'!$K$4:$M$4</f>
              <strCache>
                <ptCount val="0"/>
              </strCache>
            </strRef>
          </cat>
          <val>
            <numRef>
              <f>'Dashboard'!$K$7:$M$7</f>
              <numCache>
                <formatCode>$#,##0</formatCode>
                <ptCount val="0"/>
              </numCache>
            </numRef>
          </val>
          <smooth val="0"/>
        </ser>
        <ser>
          <idx val="3"/>
          <order val="3"/>
          <tx>
            <v>Haircut Revenue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'Dashboard'!$K$4:$M$4</f>
              <strCache>
                <ptCount val="0"/>
              </strCache>
            </strRef>
          </cat>
          <val>
            <numRef>
              <f>'Dashboard'!$K$8:$M$8</f>
              <numCache>
                <formatCode>$#,##0</formatCode>
                <ptCount val="0"/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axId val="48650112"/>
        <axId val="48672768"/>
      </line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Forecast Year</a:t>
                </a:r>
              </a:p>
            </rich>
          </tx>
        </title>
        <numFmt formatCode="General" sourceLinked="0"/>
        <majorTickMark val="none"/>
        <minorTickMark val="none"/>
        <tickLblPos val="nextTo"/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D9E1F2"/>
              </a:solidFill>
              <a:prstDash val="dash"/>
            </a:ln>
          </spPr>
        </majorGridlines>
        <numFmt formatCode="$#,##0" sourceLinked="0"/>
        <majorTickMark val="none"/>
        <minorTickMark val="none"/>
        <crossAx val="48650112"/>
        <crosses val="autoZero"/>
        <crossBetween val="between"/>
      </valAx>
    </plotArea>
    <legend>
      <legendPos val="b"/>
      <overlay val="0"/>
    </legend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5</col>
      <colOff>0</colOff>
      <row>14</row>
      <rowOff>0</rowOff>
    </from>
    <to>
      <col>9</col>
      <colOff>0</colOff>
      <row>26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TurboPitch Finance">
  <a:themeElements>
    <a:clrScheme name="TurboPitch Finance">
      <a:dk1>
        <a:srgbClr val="0B0F19"/>
      </a:dk1>
      <a:lt1>
        <a:srgbClr val="FFFFFF"/>
      </a:lt1>
      <a:dk2>
        <a:srgbClr val="0E2841"/>
      </a:dk2>
      <a:lt2>
        <a:srgbClr val="E7E6E6"/>
      </a:lt2>
      <a:accent1>
        <a:srgbClr val="17365D"/>
      </a:accent1>
      <a:accent2>
        <a:srgbClr val="5B9BD5"/>
      </a:accent2>
      <a:accent3>
        <a:srgbClr val="70AD47"/>
      </a:accent3>
      <a:accent4>
        <a:srgbClr val="FFC000"/>
      </a:accent4>
      <a:accent5>
        <a:srgbClr val="C00000"/>
      </a:accent5>
      <a:accent6>
        <a:srgbClr val="A5A5A5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TurboPitch Finan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"/>
  <sheetViews>
    <sheetView showGridLines="0" workbookViewId="0">
      <selection activeCell="A1" sqref="A1"/>
    </sheetView>
  </sheetViews>
  <sheetFormatPr baseColWidth="8" defaultRowHeight="15"/>
  <cols>
    <col width="21.25" customWidth="1" style="34" min="1" max="1"/>
    <col width="17.5" customWidth="1" style="34" min="2" max="2"/>
    <col width="17.5" customWidth="1" style="34" min="3" max="3"/>
    <col width="17.5" customWidth="1" style="34" min="4" max="4"/>
    <col width="2.5" customWidth="1" style="34" min="5" max="5"/>
    <col width="20" customWidth="1" style="34" min="6" max="6"/>
    <col width="18" customWidth="1" style="34" min="7" max="7"/>
    <col width="14" customWidth="1" style="34" min="8" max="8"/>
    <col width="65" customWidth="1" style="34" min="9" max="9"/>
    <col width="1" customWidth="1" style="34" min="10" max="10"/>
    <col width="1" customWidth="1" style="34" min="11" max="11"/>
    <col width="1" customWidth="1" style="34" min="12" max="12"/>
    <col width="1" customWidth="1" style="34" min="13" max="13"/>
  </cols>
  <sheetData>
    <row r="1" ht="19.20000076293945" customHeight="1" s="34">
      <c r="A1" s="567" t="inlineStr">
        <is>
          <t>TurboPitch Financial Dashboard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593" t="n"/>
      <c r="K1" s="593" t="n"/>
      <c r="L1" s="593" t="n"/>
      <c r="M1" s="593" t="n"/>
      <c r="N1" s="566" t="n"/>
      <c r="O1" s="566" t="n"/>
      <c r="P1" s="566" t="n"/>
      <c r="Q1" s="566" t="n"/>
      <c r="R1" s="566" t="n"/>
      <c r="S1" s="566" t="n"/>
      <c r="T1" s="566" t="n"/>
      <c r="U1" s="566" t="n"/>
      <c r="V1" s="566" t="n"/>
      <c r="W1" s="566" t="n"/>
      <c r="X1" s="566" t="n"/>
      <c r="Y1" s="566" t="n"/>
      <c r="Z1" s="566" t="n"/>
    </row>
    <row r="2" ht="15" customHeight="1" s="34">
      <c r="A2" s="393" t="inlineStr">
        <is>
          <t>Investor-ready projection summary with model-linked KPIs and readiness flags.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364" t="n"/>
      <c r="K2" s="364" t="n"/>
      <c r="L2" s="364" t="n"/>
      <c r="M2" s="364" t="n"/>
      <c r="N2" s="364" t="n"/>
      <c r="O2" s="364" t="n"/>
      <c r="P2" s="364" t="n"/>
      <c r="Q2" s="364" t="n"/>
      <c r="R2" s="364" t="n"/>
      <c r="S2" s="364" t="n"/>
      <c r="T2" s="364" t="n"/>
      <c r="U2" s="364" t="n"/>
      <c r="V2" s="364" t="n"/>
      <c r="W2" s="364" t="n"/>
      <c r="X2" s="364" t="n"/>
      <c r="Y2" s="364" t="n"/>
      <c r="Z2" s="364" t="n"/>
    </row>
    <row r="3" ht="15" customHeight="1" s="34">
      <c r="A3" s="366" t="n"/>
      <c r="B3" s="366" t="n"/>
      <c r="C3" s="366" t="n"/>
      <c r="D3" s="366" t="n"/>
      <c r="E3" s="366" t="n"/>
      <c r="F3" s="366" t="n"/>
      <c r="G3" s="366" t="n"/>
      <c r="H3" s="366" t="n"/>
      <c r="I3" s="364" t="n"/>
      <c r="J3" s="364" t="n"/>
      <c r="K3" s="364" t="n"/>
      <c r="L3" s="364" t="n"/>
      <c r="M3" s="364" t="n"/>
      <c r="N3" s="364" t="n"/>
      <c r="O3" s="364" t="n"/>
      <c r="P3" s="364" t="n"/>
      <c r="Q3" s="364" t="n"/>
      <c r="R3" s="364" t="n"/>
      <c r="S3" s="364" t="n"/>
      <c r="T3" s="364" t="n"/>
      <c r="U3" s="364" t="n"/>
      <c r="V3" s="364" t="n"/>
      <c r="W3" s="364" t="n"/>
      <c r="X3" s="364" t="n"/>
      <c r="Y3" s="364" t="n"/>
      <c r="Z3" s="364" t="n"/>
    </row>
    <row r="4" ht="15" customHeight="1" s="34">
      <c r="A4" s="367" t="inlineStr">
        <is>
          <t>Key Metric</t>
        </is>
      </c>
      <c r="B4" s="368" t="inlineStr">
        <is>
          <t>Year 1</t>
        </is>
      </c>
      <c r="C4" s="368" t="inlineStr">
        <is>
          <t>Year 2</t>
        </is>
      </c>
      <c r="D4" s="369" t="inlineStr">
        <is>
          <t>Year 3</t>
        </is>
      </c>
      <c r="E4" s="366" t="str"/>
      <c r="F4" s="367" t="inlineStr">
        <is>
          <t>Investor Snapshot</t>
        </is>
      </c>
      <c r="G4" s="368" t="inlineStr">
        <is>
          <t>Assessment</t>
        </is>
      </c>
      <c r="H4" s="369" t="inlineStr">
        <is>
          <t>Status</t>
        </is>
      </c>
      <c r="I4" s="591" t="inlineStr">
        <is>
          <t>Notes</t>
        </is>
      </c>
      <c r="J4" s="370" t="inlineStr">
        <is>
          <t>Metric</t>
        </is>
      </c>
      <c r="K4" s="370" t="inlineStr">
        <is>
          <t>Year 1</t>
        </is>
      </c>
      <c r="L4" s="370" t="inlineStr">
        <is>
          <t>Year 2</t>
        </is>
      </c>
      <c r="M4" s="370" t="inlineStr">
        <is>
          <t>Year 3</t>
        </is>
      </c>
      <c r="N4" s="364" t="n"/>
      <c r="O4" s="364" t="n"/>
      <c r="P4" s="364" t="n"/>
      <c r="Q4" s="364" t="n"/>
      <c r="R4" s="364" t="n"/>
      <c r="S4" s="364" t="n"/>
      <c r="T4" s="364" t="n"/>
      <c r="U4" s="364" t="n"/>
      <c r="V4" s="364" t="n"/>
      <c r="W4" s="364" t="n"/>
      <c r="X4" s="364" t="n"/>
      <c r="Y4" s="364" t="n"/>
      <c r="Z4" s="364" t="n"/>
    </row>
    <row r="5" ht="42" customHeight="1" s="34">
      <c r="A5" s="371" t="inlineStr">
        <is>
          <t>Revenue</t>
        </is>
      </c>
      <c r="B5" s="641">
        <f>'Financial Model'!B8</f>
        <v/>
      </c>
      <c r="C5" s="641">
        <f>'Financial Model'!C8</f>
        <v/>
      </c>
      <c r="D5" s="642">
        <f>'Financial Model'!D8</f>
        <v/>
      </c>
      <c r="E5" s="366" t="n"/>
      <c r="F5" s="643" t="inlineStr">
        <is>
          <t>Industry</t>
        </is>
      </c>
      <c r="G5" s="644" t="inlineStr">
        <is>
          <t>Vertical SaaS / AI Software</t>
        </is>
      </c>
      <c r="H5" s="645" t="inlineStr">
        <is>
          <t>Green</t>
        </is>
      </c>
      <c r="I5" s="646" t="inlineStr">
        <is>
          <t>Category detected from the founder input.</t>
        </is>
      </c>
      <c r="J5" s="370" t="inlineStr">
        <is>
          <t>Revenue</t>
        </is>
      </c>
      <c r="K5" s="370">
        <f>'Financial Model'!B8</f>
        <v/>
      </c>
      <c r="L5" s="370">
        <f>'Financial Model'!C8</f>
        <v/>
      </c>
      <c r="M5" s="370">
        <f>'Financial Model'!D8</f>
        <v/>
      </c>
      <c r="N5" s="364" t="n"/>
      <c r="O5" s="364" t="n"/>
      <c r="P5" s="364" t="n"/>
      <c r="Q5" s="364" t="n"/>
      <c r="R5" s="364" t="n"/>
      <c r="S5" s="364" t="n"/>
      <c r="T5" s="364" t="n"/>
      <c r="U5" s="364" t="n"/>
      <c r="V5" s="364" t="n"/>
      <c r="W5" s="364" t="n"/>
      <c r="X5" s="364" t="n"/>
      <c r="Y5" s="364" t="n"/>
      <c r="Z5" s="364" t="n"/>
    </row>
    <row r="6" ht="42" customHeight="1" s="34">
      <c r="A6" s="371" t="inlineStr">
        <is>
          <t>Gross Profit</t>
        </is>
      </c>
      <c r="B6" s="641">
        <f>'Financial Model'!B14</f>
        <v/>
      </c>
      <c r="C6" s="641">
        <f>'Financial Model'!C14</f>
        <v/>
      </c>
      <c r="D6" s="642">
        <f>'Financial Model'!D14</f>
        <v/>
      </c>
      <c r="E6" s="366" t="n"/>
      <c r="F6" s="643" t="inlineStr">
        <is>
          <t>Customer Segment</t>
        </is>
      </c>
      <c r="G6" s="644" t="inlineStr">
        <is>
          <t>B2B / SMB Operators</t>
        </is>
      </c>
      <c r="H6" s="645" t="inlineStr">
        <is>
          <t>Green</t>
        </is>
      </c>
      <c r="I6" s="646" t="inlineStr">
        <is>
          <t>Customer segment inferred from the startup description.</t>
        </is>
      </c>
      <c r="J6" s="370" t="inlineStr">
        <is>
          <t>Net Income</t>
        </is>
      </c>
      <c r="K6" s="370">
        <f>'Financial Model'!B27</f>
        <v/>
      </c>
      <c r="L6" s="370">
        <f>'Financial Model'!C27</f>
        <v/>
      </c>
      <c r="M6" s="370">
        <f>'Financial Model'!D27</f>
        <v/>
      </c>
      <c r="N6" s="364" t="n"/>
      <c r="O6" s="364" t="n"/>
      <c r="P6" s="364" t="n"/>
      <c r="Q6" s="364" t="n"/>
      <c r="R6" s="364" t="n"/>
      <c r="S6" s="364" t="n"/>
      <c r="T6" s="364" t="n"/>
      <c r="U6" s="364" t="n"/>
      <c r="V6" s="364" t="n"/>
      <c r="W6" s="364" t="n"/>
      <c r="X6" s="364" t="n"/>
      <c r="Y6" s="364" t="n"/>
      <c r="Z6" s="364" t="n"/>
    </row>
    <row r="7" ht="42" customHeight="1" s="34">
      <c r="A7" s="371" t="inlineStr">
        <is>
          <t>Gross Margin %</t>
        </is>
      </c>
      <c r="B7" s="647">
        <f>'Financial Model'!B15</f>
        <v/>
      </c>
      <c r="C7" s="647">
        <f>'Financial Model'!C15</f>
        <v/>
      </c>
      <c r="D7" s="648">
        <f>'Financial Model'!D15</f>
        <v/>
      </c>
      <c r="E7" s="366" t="n"/>
      <c r="F7" s="643" t="inlineStr">
        <is>
          <t>Overall Readiness</t>
        </is>
      </c>
      <c r="G7" s="644" t="inlineStr">
        <is>
          <t>Needs Work</t>
        </is>
      </c>
      <c r="H7" s="649" t="inlineStr">
        <is>
          <t>Yellow</t>
        </is>
      </c>
      <c r="I7" s="646" t="inlineStr">
        <is>
          <t>Reality Engine sees some real-world issues that may weaken investor credibility.</t>
        </is>
      </c>
      <c r="J7" s="370" t="inlineStr">
        <is>
          <t>Ending Cash</t>
        </is>
      </c>
      <c r="K7" s="370">
        <f>'Financial Model'!B29</f>
        <v/>
      </c>
      <c r="L7" s="370">
        <f>'Financial Model'!C29</f>
        <v/>
      </c>
      <c r="M7" s="370">
        <f>'Financial Model'!D29</f>
        <v/>
      </c>
      <c r="N7" s="364" t="n"/>
      <c r="O7" s="364" t="n"/>
      <c r="P7" s="364" t="n"/>
      <c r="Q7" s="364" t="n"/>
      <c r="R7" s="364" t="n"/>
      <c r="S7" s="364" t="n"/>
      <c r="T7" s="364" t="n"/>
      <c r="U7" s="364" t="n"/>
      <c r="V7" s="364" t="n"/>
      <c r="W7" s="364" t="n"/>
      <c r="X7" s="364" t="n"/>
      <c r="Y7" s="364" t="n"/>
      <c r="Z7" s="364" t="n"/>
    </row>
    <row r="8" ht="42" customHeight="1" s="34">
      <c r="A8" s="371" t="inlineStr">
        <is>
          <t>Operating Income</t>
        </is>
      </c>
      <c r="B8" s="641">
        <f>'Financial Model'!B22</f>
        <v/>
      </c>
      <c r="C8" s="641">
        <f>'Financial Model'!C22</f>
        <v/>
      </c>
      <c r="D8" s="642">
        <f>'Financial Model'!D22</f>
        <v/>
      </c>
      <c r="E8" s="366" t="n"/>
      <c r="F8" s="643" t="inlineStr">
        <is>
          <t>Pricing Realism</t>
        </is>
      </c>
      <c r="G8" s="644" t="inlineStr">
        <is>
          <t>Needs Support</t>
        </is>
      </c>
      <c r="H8" s="649" t="inlineStr">
        <is>
          <t>Yellow</t>
        </is>
      </c>
      <c r="I8" s="646" t="inlineStr">
        <is>
          <t>Price of $5.00 may be too low for a B2B operator software concept and could understate value.</t>
        </is>
      </c>
      <c r="J8" s="370" t="inlineStr">
        <is>
          <t>Investor Haircut Revenue</t>
        </is>
      </c>
      <c r="K8" s="370">
        <f>'Financial Model'!B35</f>
        <v/>
      </c>
      <c r="L8" s="370">
        <f>'Financial Model'!C35</f>
        <v/>
      </c>
      <c r="M8" s="370">
        <f>'Financial Model'!D35</f>
        <v/>
      </c>
      <c r="N8" s="364" t="n"/>
      <c r="O8" s="364" t="n"/>
      <c r="P8" s="364" t="n"/>
      <c r="Q8" s="364" t="n"/>
      <c r="R8" s="364" t="n"/>
      <c r="S8" s="364" t="n"/>
      <c r="T8" s="364" t="n"/>
      <c r="U8" s="364" t="n"/>
      <c r="V8" s="364" t="n"/>
      <c r="W8" s="364" t="n"/>
      <c r="X8" s="364" t="n"/>
      <c r="Y8" s="364" t="n"/>
      <c r="Z8" s="364" t="n"/>
    </row>
    <row r="9" ht="60" customHeight="1" s="34">
      <c r="A9" s="371" t="inlineStr">
        <is>
          <t>Net Income</t>
        </is>
      </c>
      <c r="B9" s="641">
        <f>'Financial Model'!B27</f>
        <v/>
      </c>
      <c r="C9" s="641">
        <f>'Financial Model'!C27</f>
        <v/>
      </c>
      <c r="D9" s="642">
        <f>'Financial Model'!D27</f>
        <v/>
      </c>
      <c r="E9" s="366" t="n"/>
      <c r="F9" s="643" t="inlineStr">
        <is>
          <t>Sales Volume</t>
        </is>
      </c>
      <c r="G9" s="644" t="inlineStr">
        <is>
          <t>Unrealistic</t>
        </is>
      </c>
      <c r="H9" s="650" t="inlineStr">
        <is>
          <t>Red</t>
        </is>
      </c>
      <c r="I9" s="646" t="inlineStr">
        <is>
          <t>Year 1 unit target of 80,000 is aggressive for a B2B software rollout and needs support from pipeline, conversion rate, paid-location count, retention, and rollout capacity.</t>
        </is>
      </c>
      <c r="J9" s="364" t="n"/>
      <c r="K9" s="364" t="n"/>
      <c r="L9" s="364" t="n"/>
      <c r="M9" s="364" t="n"/>
      <c r="N9" s="364" t="n"/>
      <c r="O9" s="364" t="n"/>
      <c r="P9" s="364" t="n"/>
      <c r="Q9" s="364" t="n"/>
      <c r="R9" s="364" t="n"/>
      <c r="S9" s="364" t="n"/>
      <c r="T9" s="364" t="n"/>
      <c r="U9" s="364" t="n"/>
      <c r="V9" s="364" t="n"/>
      <c r="W9" s="364" t="n"/>
      <c r="X9" s="364" t="n"/>
      <c r="Y9" s="364" t="n"/>
      <c r="Z9" s="364" t="n"/>
    </row>
    <row r="10" ht="42" customHeight="1" s="34">
      <c r="A10" s="379" t="inlineStr">
        <is>
          <t>Ending Cash</t>
        </is>
      </c>
      <c r="B10" s="651">
        <f>'Financial Model'!B29</f>
        <v/>
      </c>
      <c r="C10" s="651">
        <f>'Financial Model'!C29</f>
        <v/>
      </c>
      <c r="D10" s="652">
        <f>'Financial Model'!D29</f>
        <v/>
      </c>
      <c r="E10" s="366" t="n"/>
      <c r="F10" s="643" t="inlineStr">
        <is>
          <t>Growth Assumptions</t>
        </is>
      </c>
      <c r="G10" s="644" t="inlineStr">
        <is>
          <t>Plausible</t>
        </is>
      </c>
      <c r="H10" s="645" t="inlineStr">
        <is>
          <t>Green</t>
        </is>
      </c>
      <c r="I10" s="646" t="inlineStr">
        <is>
          <t>Growth path is within the selected operating-model benchmark ranges.</t>
        </is>
      </c>
      <c r="J10" s="364" t="n"/>
      <c r="K10" s="364" t="n"/>
      <c r="L10" s="364" t="n"/>
      <c r="M10" s="364" t="n"/>
      <c r="N10" s="364" t="n"/>
      <c r="O10" s="364" t="n"/>
      <c r="P10" s="364" t="n"/>
      <c r="Q10" s="364" t="n"/>
      <c r="R10" s="364" t="n"/>
      <c r="S10" s="364" t="n"/>
      <c r="T10" s="364" t="n"/>
      <c r="U10" s="364" t="n"/>
      <c r="V10" s="364" t="n"/>
      <c r="W10" s="364" t="n"/>
      <c r="X10" s="364" t="n"/>
      <c r="Y10" s="364" t="n"/>
      <c r="Z10" s="364" t="n"/>
    </row>
    <row r="11" ht="42" customHeight="1" s="34">
      <c r="A11" s="366" t="n"/>
      <c r="B11" s="366" t="n"/>
      <c r="C11" s="366" t="n"/>
      <c r="D11" s="366" t="n"/>
      <c r="E11" s="366" t="n"/>
      <c r="F11" s="643" t="inlineStr">
        <is>
          <t>Margin Quality</t>
        </is>
      </c>
      <c r="G11" s="644" t="inlineStr">
        <is>
          <t>Healthy</t>
        </is>
      </c>
      <c r="H11" s="645" t="inlineStr">
        <is>
          <t>Green</t>
        </is>
      </c>
      <c r="I11" s="646" t="inlineStr">
        <is>
          <t>Gross Margin is within the typical Vertical SaaS / AI Software benchmark range.</t>
        </is>
      </c>
      <c r="J11" s="364" t="n"/>
      <c r="K11" s="364" t="n"/>
      <c r="L11" s="364" t="n"/>
      <c r="M11" s="364" t="n"/>
      <c r="N11" s="364" t="n"/>
      <c r="O11" s="364" t="n"/>
      <c r="P11" s="364" t="n"/>
      <c r="Q11" s="364" t="n"/>
      <c r="R11" s="364" t="n"/>
      <c r="S11" s="364" t="n"/>
      <c r="T11" s="364" t="n"/>
      <c r="U11" s="364" t="n"/>
      <c r="V11" s="364" t="n"/>
      <c r="W11" s="364" t="n"/>
      <c r="X11" s="364" t="n"/>
      <c r="Y11" s="364" t="n"/>
      <c r="Z11" s="364" t="n"/>
    </row>
    <row r="12" ht="42" customHeight="1" s="34">
      <c r="A12" s="366" t="n"/>
      <c r="B12" s="366" t="n"/>
      <c r="C12" s="366" t="n"/>
      <c r="D12" s="366" t="n"/>
      <c r="E12" s="366" t="n"/>
      <c r="F12" s="653" t="inlineStr">
        <is>
          <t>Cash Viability</t>
        </is>
      </c>
      <c r="G12" s="654" t="inlineStr">
        <is>
          <t>Needs Runway Support</t>
        </is>
      </c>
      <c r="H12" s="655" t="inlineStr">
        <is>
          <t>Yellow</t>
        </is>
      </c>
      <c r="I12" s="656" t="inlineStr">
        <is>
          <t>Ending cash remains positive, but Year 1 losses require clear runway and milestone support.</t>
        </is>
      </c>
      <c r="J12" s="364" t="n"/>
      <c r="K12" s="364" t="n"/>
      <c r="L12" s="364" t="n"/>
      <c r="M12" s="364" t="n"/>
      <c r="N12" s="364" t="n"/>
      <c r="O12" s="364" t="n"/>
      <c r="P12" s="364" t="n"/>
      <c r="Q12" s="364" t="n"/>
      <c r="R12" s="364" t="n"/>
      <c r="S12" s="364" t="n"/>
      <c r="T12" s="364" t="n"/>
      <c r="U12" s="364" t="n"/>
      <c r="V12" s="364" t="n"/>
      <c r="W12" s="364" t="n"/>
      <c r="X12" s="364" t="n"/>
      <c r="Y12" s="364" t="n"/>
      <c r="Z12" s="364" t="n"/>
    </row>
    <row r="13" ht="15" customHeight="1" s="34">
      <c r="A13" s="366" t="n"/>
      <c r="B13" s="366" t="n"/>
      <c r="C13" s="366" t="n"/>
      <c r="D13" s="366" t="n"/>
      <c r="E13" s="366" t="n"/>
      <c r="F13" s="366" t="n"/>
      <c r="G13" s="366" t="n"/>
      <c r="H13" s="366" t="n"/>
      <c r="I13" s="364" t="n"/>
      <c r="J13" s="364" t="n"/>
      <c r="K13" s="364" t="n"/>
      <c r="L13" s="364" t="n"/>
      <c r="M13" s="364" t="n"/>
      <c r="N13" s="364" t="n"/>
      <c r="O13" s="364" t="n"/>
      <c r="P13" s="364" t="n"/>
      <c r="Q13" s="364" t="n"/>
      <c r="R13" s="364" t="n"/>
      <c r="S13" s="364" t="n"/>
      <c r="T13" s="364" t="n"/>
      <c r="U13" s="364" t="n"/>
      <c r="V13" s="364" t="n"/>
      <c r="W13" s="364" t="n"/>
      <c r="X13" s="364" t="n"/>
      <c r="Y13" s="364" t="n"/>
      <c r="Z13" s="364" t="n"/>
    </row>
    <row r="14" ht="15" customHeight="1" s="34">
      <c r="A14" s="366" t="n"/>
      <c r="B14" s="366" t="n"/>
      <c r="C14" s="366" t="n"/>
      <c r="D14" s="366" t="n"/>
      <c r="E14" s="366" t="n"/>
      <c r="F14" s="366" t="n"/>
      <c r="G14" s="366" t="n"/>
      <c r="H14" s="366" t="n"/>
      <c r="I14" s="364" t="n"/>
      <c r="J14" s="364" t="n"/>
      <c r="K14" s="364" t="n"/>
      <c r="L14" s="364" t="n"/>
      <c r="M14" s="364" t="n"/>
      <c r="N14" s="364" t="n"/>
      <c r="O14" s="364" t="n"/>
      <c r="P14" s="364" t="n"/>
      <c r="Q14" s="364" t="n"/>
      <c r="R14" s="364" t="n"/>
      <c r="S14" s="364" t="n"/>
      <c r="T14" s="364" t="n"/>
      <c r="U14" s="364" t="n"/>
      <c r="V14" s="364" t="n"/>
      <c r="W14" s="364" t="n"/>
      <c r="X14" s="364" t="n"/>
      <c r="Y14" s="364" t="n"/>
      <c r="Z14" s="364" t="n"/>
    </row>
    <row r="15" ht="15" customHeight="1" s="34">
      <c r="A15" s="391" t="inlineStr">
        <is>
          <t>P&amp;L Summary</t>
        </is>
      </c>
      <c r="B15" s="1" t="n"/>
      <c r="C15" s="1" t="n"/>
      <c r="D15" s="1" t="n"/>
      <c r="E15" s="366" t="n"/>
      <c r="F15" s="366" t="n"/>
      <c r="G15" s="366" t="n"/>
      <c r="H15" s="366" t="n"/>
      <c r="I15" s="364" t="n"/>
      <c r="J15" s="364" t="n"/>
      <c r="K15" s="364" t="n"/>
      <c r="L15" s="364" t="n"/>
      <c r="M15" s="364" t="n"/>
      <c r="N15" s="364" t="n"/>
      <c r="O15" s="364" t="n"/>
      <c r="P15" s="364" t="n"/>
      <c r="Q15" s="364" t="n"/>
      <c r="R15" s="364" t="n"/>
      <c r="S15" s="364" t="n"/>
      <c r="T15" s="364" t="n"/>
      <c r="U15" s="364" t="n"/>
      <c r="V15" s="364" t="n"/>
      <c r="W15" s="364" t="n"/>
      <c r="X15" s="364" t="n"/>
      <c r="Y15" s="364" t="n"/>
      <c r="Z15" s="364" t="n"/>
    </row>
    <row r="16" ht="15" customHeight="1" s="34">
      <c r="A16" s="384" t="inlineStr">
        <is>
          <t>Line Item</t>
        </is>
      </c>
      <c r="B16" s="385" t="inlineStr">
        <is>
          <t>Year 1</t>
        </is>
      </c>
      <c r="C16" s="385" t="inlineStr">
        <is>
          <t>Year 2</t>
        </is>
      </c>
      <c r="D16" s="386" t="inlineStr">
        <is>
          <t>Year 3</t>
        </is>
      </c>
      <c r="E16" s="366" t="n"/>
      <c r="F16" s="366" t="n"/>
      <c r="G16" s="366" t="n"/>
      <c r="H16" s="366" t="n"/>
      <c r="I16" s="364" t="n"/>
      <c r="J16" s="364" t="n"/>
      <c r="K16" s="364" t="n"/>
      <c r="L16" s="364" t="n"/>
      <c r="M16" s="364" t="n"/>
      <c r="N16" s="364" t="n"/>
      <c r="O16" s="364" t="n"/>
      <c r="P16" s="364" t="n"/>
      <c r="Q16" s="364" t="n"/>
      <c r="R16" s="364" t="n"/>
      <c r="S16" s="364" t="n"/>
      <c r="T16" s="364" t="n"/>
      <c r="U16" s="364" t="n"/>
      <c r="V16" s="364" t="n"/>
      <c r="W16" s="364" t="n"/>
      <c r="X16" s="364" t="n"/>
      <c r="Y16" s="364" t="n"/>
      <c r="Z16" s="364" t="n"/>
    </row>
    <row r="17" ht="15" customHeight="1" s="34">
      <c r="A17" s="387" t="inlineStr">
        <is>
          <t>Units</t>
        </is>
      </c>
      <c r="B17" s="657">
        <f>'Financial Model'!B6</f>
        <v/>
      </c>
      <c r="C17" s="657">
        <f>'Financial Model'!C6</f>
        <v/>
      </c>
      <c r="D17" s="658">
        <f>'Financial Model'!D6</f>
        <v/>
      </c>
      <c r="E17" s="366" t="n"/>
      <c r="F17" s="366" t="n"/>
      <c r="G17" s="366" t="n"/>
      <c r="H17" s="366" t="n"/>
      <c r="I17" s="364" t="n"/>
      <c r="J17" s="364" t="n"/>
      <c r="K17" s="364" t="n"/>
      <c r="L17" s="364" t="n"/>
      <c r="M17" s="364" t="n"/>
      <c r="N17" s="364" t="n"/>
      <c r="O17" s="364" t="n"/>
      <c r="P17" s="364" t="n"/>
      <c r="Q17" s="364" t="n"/>
      <c r="R17" s="364" t="n"/>
      <c r="S17" s="364" t="n"/>
      <c r="T17" s="364" t="n"/>
      <c r="U17" s="364" t="n"/>
      <c r="V17" s="364" t="n"/>
      <c r="W17" s="364" t="n"/>
      <c r="X17" s="364" t="n"/>
      <c r="Y17" s="364" t="n"/>
      <c r="Z17" s="364" t="n"/>
    </row>
    <row r="18" ht="15" customHeight="1" s="34">
      <c r="A18" s="387" t="inlineStr">
        <is>
          <t>Revenue</t>
        </is>
      </c>
      <c r="B18" s="641">
        <f>'Financial Model'!B8</f>
        <v/>
      </c>
      <c r="C18" s="641">
        <f>'Financial Model'!C8</f>
        <v/>
      </c>
      <c r="D18" s="642">
        <f>'Financial Model'!D8</f>
        <v/>
      </c>
      <c r="E18" s="366" t="n"/>
      <c r="F18" s="366" t="n"/>
      <c r="G18" s="366" t="n"/>
      <c r="H18" s="366" t="n"/>
      <c r="I18" s="364" t="n"/>
      <c r="J18" s="364" t="n"/>
      <c r="K18" s="364" t="n"/>
      <c r="L18" s="364" t="n"/>
      <c r="M18" s="364" t="n"/>
      <c r="N18" s="364" t="n"/>
      <c r="O18" s="364" t="n"/>
      <c r="P18" s="364" t="n"/>
      <c r="Q18" s="364" t="n"/>
      <c r="R18" s="364" t="n"/>
      <c r="S18" s="364" t="n"/>
      <c r="T18" s="364" t="n"/>
      <c r="U18" s="364" t="n"/>
      <c r="V18" s="364" t="n"/>
      <c r="W18" s="364" t="n"/>
      <c r="X18" s="364" t="n"/>
      <c r="Y18" s="364" t="n"/>
      <c r="Z18" s="364" t="n"/>
    </row>
    <row r="19" ht="15" customHeight="1" s="34">
      <c r="A19" s="387" t="inlineStr">
        <is>
          <t>COGS</t>
        </is>
      </c>
      <c r="B19" s="641">
        <f>'Financial Model'!B13</f>
        <v/>
      </c>
      <c r="C19" s="641">
        <f>'Financial Model'!C13</f>
        <v/>
      </c>
      <c r="D19" s="642">
        <f>'Financial Model'!D13</f>
        <v/>
      </c>
      <c r="E19" s="366" t="n"/>
      <c r="F19" s="366" t="n"/>
      <c r="G19" s="366" t="n"/>
      <c r="H19" s="366" t="n"/>
      <c r="I19" s="364" t="n"/>
      <c r="J19" s="364" t="n"/>
      <c r="K19" s="364" t="n"/>
      <c r="L19" s="364" t="n"/>
      <c r="M19" s="364" t="n"/>
      <c r="N19" s="364" t="n"/>
      <c r="O19" s="364" t="n"/>
      <c r="P19" s="364" t="n"/>
      <c r="Q19" s="364" t="n"/>
      <c r="R19" s="364" t="n"/>
      <c r="S19" s="364" t="n"/>
      <c r="T19" s="364" t="n"/>
      <c r="U19" s="364" t="n"/>
      <c r="V19" s="364" t="n"/>
      <c r="W19" s="364" t="n"/>
      <c r="X19" s="364" t="n"/>
      <c r="Y19" s="364" t="n"/>
      <c r="Z19" s="364" t="n"/>
    </row>
    <row r="20" ht="15" customHeight="1" s="34">
      <c r="A20" s="387" t="inlineStr">
        <is>
          <t>Gross Profit</t>
        </is>
      </c>
      <c r="B20" s="641">
        <f>'Financial Model'!B14</f>
        <v/>
      </c>
      <c r="C20" s="641">
        <f>'Financial Model'!C14</f>
        <v/>
      </c>
      <c r="D20" s="642">
        <f>'Financial Model'!D14</f>
        <v/>
      </c>
      <c r="E20" s="366" t="n"/>
      <c r="F20" s="366" t="n"/>
      <c r="G20" s="366" t="n"/>
      <c r="H20" s="366" t="n"/>
      <c r="I20" s="364" t="n"/>
      <c r="J20" s="364" t="n"/>
      <c r="K20" s="364" t="n"/>
      <c r="L20" s="364" t="n"/>
      <c r="M20" s="364" t="n"/>
      <c r="N20" s="364" t="n"/>
      <c r="O20" s="364" t="n"/>
      <c r="P20" s="364" t="n"/>
      <c r="Q20" s="364" t="n"/>
      <c r="R20" s="364" t="n"/>
      <c r="S20" s="364" t="n"/>
      <c r="T20" s="364" t="n"/>
      <c r="U20" s="364" t="n"/>
      <c r="V20" s="364" t="n"/>
      <c r="W20" s="364" t="n"/>
      <c r="X20" s="364" t="n"/>
      <c r="Y20" s="364" t="n"/>
      <c r="Z20" s="364" t="n"/>
    </row>
    <row r="21" ht="15" customHeight="1" s="34">
      <c r="A21" s="387" t="inlineStr">
        <is>
          <t>Gross Margin %</t>
        </is>
      </c>
      <c r="B21" s="647">
        <f>'Financial Model'!B15</f>
        <v/>
      </c>
      <c r="C21" s="647">
        <f>'Financial Model'!C15</f>
        <v/>
      </c>
      <c r="D21" s="648">
        <f>'Financial Model'!D15</f>
        <v/>
      </c>
      <c r="E21" s="366" t="n"/>
      <c r="F21" s="366" t="n"/>
      <c r="G21" s="366" t="n"/>
      <c r="H21" s="366" t="n"/>
      <c r="I21" s="364" t="n"/>
      <c r="J21" s="364" t="n"/>
      <c r="K21" s="364" t="n"/>
      <c r="L21" s="364" t="n"/>
      <c r="M21" s="364" t="n"/>
      <c r="N21" s="364" t="n"/>
      <c r="O21" s="364" t="n"/>
      <c r="P21" s="364" t="n"/>
      <c r="Q21" s="364" t="n"/>
      <c r="R21" s="364" t="n"/>
      <c r="S21" s="364" t="n"/>
      <c r="T21" s="364" t="n"/>
      <c r="U21" s="364" t="n"/>
      <c r="V21" s="364" t="n"/>
      <c r="W21" s="364" t="n"/>
      <c r="X21" s="364" t="n"/>
      <c r="Y21" s="364" t="n"/>
      <c r="Z21" s="364" t="n"/>
    </row>
    <row r="22" ht="15" customHeight="1" s="34">
      <c r="A22" s="387" t="inlineStr">
        <is>
          <t>Operating Expenses</t>
        </is>
      </c>
      <c r="B22" s="641">
        <f>'Financial Model'!B20</f>
        <v/>
      </c>
      <c r="C22" s="641">
        <f>'Financial Model'!C20</f>
        <v/>
      </c>
      <c r="D22" s="642">
        <f>'Financial Model'!D20</f>
        <v/>
      </c>
      <c r="E22" s="366" t="n"/>
      <c r="F22" s="366" t="n"/>
      <c r="G22" s="366" t="n"/>
      <c r="H22" s="366" t="n"/>
      <c r="I22" s="364" t="n"/>
      <c r="J22" s="364" t="n"/>
      <c r="K22" s="364" t="n"/>
      <c r="L22" s="364" t="n"/>
      <c r="M22" s="364" t="n"/>
      <c r="N22" s="364" t="n"/>
      <c r="O22" s="364" t="n"/>
      <c r="P22" s="364" t="n"/>
      <c r="Q22" s="364" t="n"/>
      <c r="R22" s="364" t="n"/>
      <c r="S22" s="364" t="n"/>
      <c r="T22" s="364" t="n"/>
      <c r="U22" s="364" t="n"/>
      <c r="V22" s="364" t="n"/>
      <c r="W22" s="364" t="n"/>
      <c r="X22" s="364" t="n"/>
      <c r="Y22" s="364" t="n"/>
      <c r="Z22" s="364" t="n"/>
    </row>
    <row r="23" ht="15" customHeight="1" s="34">
      <c r="A23" s="387" t="inlineStr">
        <is>
          <t>Operating Income</t>
        </is>
      </c>
      <c r="B23" s="641">
        <f>'Financial Model'!B22</f>
        <v/>
      </c>
      <c r="C23" s="641">
        <f>'Financial Model'!C22</f>
        <v/>
      </c>
      <c r="D23" s="642">
        <f>'Financial Model'!D22</f>
        <v/>
      </c>
      <c r="E23" s="366" t="n"/>
      <c r="F23" s="366" t="n"/>
      <c r="G23" s="366" t="n"/>
      <c r="H23" s="366" t="n"/>
      <c r="I23" s="364" t="n"/>
      <c r="J23" s="364" t="n"/>
      <c r="K23" s="364" t="n"/>
      <c r="L23" s="364" t="n"/>
      <c r="M23" s="364" t="n"/>
      <c r="N23" s="364" t="n"/>
      <c r="O23" s="364" t="n"/>
      <c r="P23" s="364" t="n"/>
      <c r="Q23" s="364" t="n"/>
      <c r="R23" s="364" t="n"/>
      <c r="S23" s="364" t="n"/>
      <c r="T23" s="364" t="n"/>
      <c r="U23" s="364" t="n"/>
      <c r="V23" s="364" t="n"/>
      <c r="W23" s="364" t="n"/>
      <c r="X23" s="364" t="n"/>
      <c r="Y23" s="364" t="n"/>
      <c r="Z23" s="364" t="n"/>
    </row>
    <row r="24" ht="15" customHeight="1" s="34">
      <c r="A24" s="387" t="inlineStr">
        <is>
          <t>Taxes</t>
        </is>
      </c>
      <c r="B24" s="641">
        <f>'Financial Model'!B26</f>
        <v/>
      </c>
      <c r="C24" s="641">
        <f>'Financial Model'!C26</f>
        <v/>
      </c>
      <c r="D24" s="642">
        <f>'Financial Model'!D26</f>
        <v/>
      </c>
      <c r="E24" s="366" t="n"/>
      <c r="F24" s="366" t="n"/>
      <c r="G24" s="366" t="n"/>
      <c r="H24" s="366" t="n"/>
      <c r="I24" s="364" t="n"/>
      <c r="J24" s="364" t="n"/>
      <c r="K24" s="364" t="n"/>
      <c r="L24" s="364" t="n"/>
      <c r="M24" s="364" t="n"/>
      <c r="N24" s="364" t="n"/>
      <c r="O24" s="364" t="n"/>
      <c r="P24" s="364" t="n"/>
      <c r="Q24" s="364" t="n"/>
      <c r="R24" s="364" t="n"/>
      <c r="S24" s="364" t="n"/>
      <c r="T24" s="364" t="n"/>
      <c r="U24" s="364" t="n"/>
      <c r="V24" s="364" t="n"/>
      <c r="W24" s="364" t="n"/>
      <c r="X24" s="364" t="n"/>
      <c r="Y24" s="364" t="n"/>
      <c r="Z24" s="364" t="n"/>
    </row>
    <row r="25" ht="15" customHeight="1" s="34">
      <c r="A25" s="387" t="inlineStr">
        <is>
          <t>Net Income</t>
        </is>
      </c>
      <c r="B25" s="641">
        <f>'Financial Model'!B27</f>
        <v/>
      </c>
      <c r="C25" s="641">
        <f>'Financial Model'!C27</f>
        <v/>
      </c>
      <c r="D25" s="642">
        <f>'Financial Model'!D27</f>
        <v/>
      </c>
      <c r="E25" s="366" t="n"/>
      <c r="F25" s="366" t="n"/>
      <c r="G25" s="366" t="n"/>
      <c r="H25" s="366" t="n"/>
      <c r="I25" s="364" t="n"/>
      <c r="J25" s="364" t="n"/>
      <c r="K25" s="364" t="n"/>
      <c r="L25" s="364" t="n"/>
      <c r="M25" s="364" t="n"/>
      <c r="N25" s="364" t="n"/>
      <c r="O25" s="364" t="n"/>
      <c r="P25" s="364" t="n"/>
      <c r="Q25" s="364" t="n"/>
      <c r="R25" s="364" t="n"/>
      <c r="S25" s="364" t="n"/>
      <c r="T25" s="364" t="n"/>
      <c r="U25" s="364" t="n"/>
      <c r="V25" s="364" t="n"/>
      <c r="W25" s="364" t="n"/>
      <c r="X25" s="364" t="n"/>
      <c r="Y25" s="364" t="n"/>
      <c r="Z25" s="364" t="n"/>
    </row>
    <row r="26" ht="15" customHeight="1" s="34">
      <c r="A26" s="390" t="inlineStr">
        <is>
          <t>Ending Cash</t>
        </is>
      </c>
      <c r="B26" s="651">
        <f>'Financial Model'!B29</f>
        <v/>
      </c>
      <c r="C26" s="651">
        <f>'Financial Model'!C29</f>
        <v/>
      </c>
      <c r="D26" s="652">
        <f>'Financial Model'!D29</f>
        <v/>
      </c>
      <c r="E26" s="366" t="n"/>
      <c r="F26" s="366" t="n"/>
      <c r="G26" s="366" t="n"/>
      <c r="H26" s="366" t="n"/>
      <c r="I26" s="364" t="n"/>
      <c r="J26" s="364" t="n"/>
      <c r="K26" s="364" t="n"/>
      <c r="L26" s="364" t="n"/>
      <c r="M26" s="364" t="n"/>
      <c r="N26" s="364" t="n"/>
      <c r="O26" s="364" t="n"/>
      <c r="P26" s="364" t="n"/>
      <c r="Q26" s="364" t="n"/>
      <c r="R26" s="364" t="n"/>
      <c r="S26" s="364" t="n"/>
      <c r="T26" s="364" t="n"/>
      <c r="U26" s="364" t="n"/>
      <c r="V26" s="364" t="n"/>
      <c r="W26" s="364" t="n"/>
      <c r="X26" s="364" t="n"/>
      <c r="Y26" s="364" t="n"/>
      <c r="Z26" s="364" t="n"/>
    </row>
    <row r="27" ht="15" customHeight="1" s="34">
      <c r="A27" s="364" t="n"/>
      <c r="B27" s="364" t="n"/>
      <c r="C27" s="364" t="n"/>
      <c r="D27" s="364" t="n"/>
      <c r="E27" s="364" t="n"/>
      <c r="F27" s="364" t="n"/>
      <c r="G27" s="364" t="n"/>
      <c r="H27" s="364" t="n"/>
      <c r="I27" s="364" t="n"/>
      <c r="J27" s="364" t="n"/>
      <c r="K27" s="364" t="n"/>
      <c r="L27" s="364" t="n"/>
      <c r="M27" s="364" t="n"/>
      <c r="N27" s="364" t="n"/>
      <c r="O27" s="364" t="n"/>
      <c r="P27" s="364" t="n"/>
      <c r="Q27" s="364" t="n"/>
      <c r="R27" s="364" t="n"/>
      <c r="S27" s="364" t="n"/>
      <c r="T27" s="364" t="n"/>
      <c r="U27" s="364" t="n"/>
      <c r="V27" s="364" t="n"/>
      <c r="W27" s="364" t="n"/>
      <c r="X27" s="364" t="n"/>
      <c r="Y27" s="364" t="n"/>
      <c r="Z27" s="364" t="n"/>
    </row>
    <row r="28" ht="15" customHeight="1" s="34">
      <c r="A28" s="364" t="n"/>
      <c r="B28" s="364" t="n"/>
      <c r="C28" s="364" t="n"/>
      <c r="D28" s="364" t="n"/>
      <c r="E28" s="364" t="n"/>
      <c r="F28" s="364" t="n"/>
      <c r="G28" s="364" t="n"/>
      <c r="H28" s="364" t="n"/>
      <c r="I28" s="364" t="n"/>
      <c r="J28" s="364" t="n"/>
      <c r="K28" s="364" t="n"/>
      <c r="L28" s="364" t="n"/>
      <c r="M28" s="364" t="n"/>
      <c r="N28" s="364" t="n"/>
      <c r="O28" s="364" t="n"/>
      <c r="P28" s="364" t="n"/>
      <c r="Q28" s="364" t="n"/>
      <c r="R28" s="364" t="n"/>
      <c r="S28" s="364" t="n"/>
      <c r="T28" s="364" t="n"/>
      <c r="U28" s="364" t="n"/>
      <c r="V28" s="364" t="n"/>
      <c r="W28" s="364" t="n"/>
      <c r="X28" s="364" t="n"/>
      <c r="Y28" s="364" t="n"/>
      <c r="Z28" s="364" t="n"/>
    </row>
    <row r="29" ht="15" customHeight="1" s="34">
      <c r="A29" s="364" t="n"/>
      <c r="B29" s="364" t="n"/>
      <c r="C29" s="364" t="n"/>
      <c r="D29" s="364" t="n"/>
      <c r="E29" s="364" t="n"/>
      <c r="F29" s="364" t="n"/>
      <c r="G29" s="364" t="n"/>
      <c r="H29" s="364" t="n"/>
      <c r="I29" s="364" t="n"/>
      <c r="J29" s="364" t="n"/>
      <c r="K29" s="364" t="n"/>
      <c r="L29" s="364" t="n"/>
      <c r="M29" s="364" t="n"/>
      <c r="N29" s="364" t="n"/>
      <c r="O29" s="364" t="n"/>
      <c r="P29" s="364" t="n"/>
      <c r="Q29" s="364" t="n"/>
      <c r="R29" s="364" t="n"/>
      <c r="S29" s="364" t="n"/>
      <c r="T29" s="364" t="n"/>
      <c r="U29" s="364" t="n"/>
      <c r="V29" s="364" t="n"/>
      <c r="W29" s="364" t="n"/>
      <c r="X29" s="364" t="n"/>
      <c r="Y29" s="364" t="n"/>
      <c r="Z29" s="364" t="n"/>
    </row>
    <row r="30" ht="15" customHeight="1" s="34">
      <c r="A30" s="364" t="n"/>
      <c r="B30" s="364" t="n"/>
      <c r="C30" s="364" t="n"/>
      <c r="D30" s="364" t="n"/>
      <c r="E30" s="364" t="n"/>
      <c r="F30" s="364" t="n"/>
      <c r="G30" s="364" t="n"/>
      <c r="H30" s="364" t="n"/>
      <c r="I30" s="364" t="n"/>
      <c r="J30" s="364" t="n"/>
      <c r="K30" s="364" t="n"/>
      <c r="L30" s="364" t="n"/>
      <c r="M30" s="364" t="n"/>
      <c r="N30" s="364" t="n"/>
      <c r="O30" s="364" t="n"/>
      <c r="P30" s="364" t="n"/>
      <c r="Q30" s="364" t="n"/>
      <c r="R30" s="364" t="n"/>
      <c r="S30" s="364" t="n"/>
      <c r="T30" s="364" t="n"/>
      <c r="U30" s="364" t="n"/>
      <c r="V30" s="364" t="n"/>
      <c r="W30" s="364" t="n"/>
      <c r="X30" s="364" t="n"/>
      <c r="Y30" s="364" t="n"/>
      <c r="Z30" s="364" t="n"/>
    </row>
    <row r="31" ht="15" customHeight="1" s="34">
      <c r="A31" s="364" t="n"/>
      <c r="B31" s="364" t="n"/>
      <c r="C31" s="364" t="n"/>
      <c r="D31" s="364" t="n"/>
      <c r="E31" s="364" t="n"/>
      <c r="F31" s="364" t="n"/>
      <c r="G31" s="364" t="n"/>
      <c r="H31" s="364" t="n"/>
      <c r="I31" s="364" t="n"/>
      <c r="J31" s="364" t="n"/>
      <c r="K31" s="364" t="n"/>
      <c r="L31" s="364" t="n"/>
      <c r="M31" s="364" t="n"/>
      <c r="N31" s="364" t="n"/>
      <c r="O31" s="364" t="n"/>
      <c r="P31" s="364" t="n"/>
      <c r="Q31" s="364" t="n"/>
      <c r="R31" s="364" t="n"/>
      <c r="S31" s="364" t="n"/>
      <c r="T31" s="364" t="n"/>
      <c r="U31" s="364" t="n"/>
      <c r="V31" s="364" t="n"/>
      <c r="W31" s="364" t="n"/>
      <c r="X31" s="364" t="n"/>
      <c r="Y31" s="364" t="n"/>
      <c r="Z31" s="364" t="n"/>
    </row>
    <row r="32" ht="15" customHeight="1" s="34">
      <c r="A32" s="364" t="n"/>
      <c r="B32" s="364" t="n"/>
      <c r="C32" s="364" t="n"/>
      <c r="D32" s="364" t="n"/>
      <c r="E32" s="364" t="n"/>
      <c r="F32" s="364" t="n"/>
      <c r="G32" s="364" t="n"/>
      <c r="H32" s="364" t="n"/>
      <c r="I32" s="364" t="n"/>
      <c r="J32" s="364" t="n"/>
      <c r="K32" s="364" t="n"/>
      <c r="L32" s="364" t="n"/>
      <c r="M32" s="364" t="n"/>
      <c r="N32" s="364" t="n"/>
      <c r="O32" s="364" t="n"/>
      <c r="P32" s="364" t="n"/>
      <c r="Q32" s="364" t="n"/>
      <c r="R32" s="364" t="n"/>
      <c r="S32" s="364" t="n"/>
      <c r="T32" s="364" t="n"/>
      <c r="U32" s="364" t="n"/>
      <c r="V32" s="364" t="n"/>
      <c r="W32" s="364" t="n"/>
      <c r="X32" s="364" t="n"/>
      <c r="Y32" s="364" t="n"/>
      <c r="Z32" s="364" t="n"/>
    </row>
    <row r="33" ht="15" customHeight="1" s="34">
      <c r="A33" s="364" t="n"/>
      <c r="B33" s="364" t="n"/>
      <c r="C33" s="364" t="n"/>
      <c r="D33" s="364" t="n"/>
      <c r="E33" s="364" t="n"/>
      <c r="F33" s="364" t="n"/>
      <c r="G33" s="364" t="n"/>
      <c r="H33" s="364" t="n"/>
      <c r="I33" s="364" t="n"/>
      <c r="J33" s="364" t="n"/>
      <c r="K33" s="364" t="n"/>
      <c r="L33" s="364" t="n"/>
      <c r="M33" s="364" t="n"/>
      <c r="N33" s="364" t="n"/>
      <c r="O33" s="364" t="n"/>
      <c r="P33" s="364" t="n"/>
      <c r="Q33" s="364" t="n"/>
      <c r="R33" s="364" t="n"/>
      <c r="S33" s="364" t="n"/>
      <c r="T33" s="364" t="n"/>
      <c r="U33" s="364" t="n"/>
      <c r="V33" s="364" t="n"/>
      <c r="W33" s="364" t="n"/>
      <c r="X33" s="364" t="n"/>
      <c r="Y33" s="364" t="n"/>
      <c r="Z33" s="364" t="n"/>
    </row>
    <row r="34" ht="15" customHeight="1" s="34">
      <c r="A34" s="364" t="n"/>
      <c r="B34" s="364" t="n"/>
      <c r="C34" s="364" t="n"/>
      <c r="D34" s="364" t="n"/>
      <c r="E34" s="364" t="n"/>
      <c r="F34" s="364" t="n"/>
      <c r="G34" s="364" t="n"/>
      <c r="H34" s="364" t="n"/>
      <c r="I34" s="364" t="n"/>
      <c r="J34" s="364" t="n"/>
      <c r="K34" s="364" t="n"/>
      <c r="L34" s="364" t="n"/>
      <c r="M34" s="364" t="n"/>
      <c r="N34" s="364" t="n"/>
      <c r="O34" s="364" t="n"/>
      <c r="P34" s="364" t="n"/>
      <c r="Q34" s="364" t="n"/>
      <c r="R34" s="364" t="n"/>
      <c r="S34" s="364" t="n"/>
      <c r="T34" s="364" t="n"/>
      <c r="U34" s="364" t="n"/>
      <c r="V34" s="364" t="n"/>
      <c r="W34" s="364" t="n"/>
      <c r="X34" s="364" t="n"/>
      <c r="Y34" s="364" t="n"/>
      <c r="Z34" s="364" t="n"/>
    </row>
    <row r="35" ht="15" customHeight="1" s="34">
      <c r="A35" s="364" t="n"/>
      <c r="B35" s="364" t="n"/>
      <c r="C35" s="364" t="n"/>
      <c r="D35" s="364" t="n"/>
      <c r="E35" s="364" t="n"/>
      <c r="F35" s="364" t="n"/>
      <c r="G35" s="364" t="n"/>
      <c r="H35" s="364" t="n"/>
      <c r="I35" s="364" t="n"/>
      <c r="J35" s="364" t="n"/>
      <c r="K35" s="364" t="n"/>
      <c r="L35" s="364" t="n"/>
      <c r="M35" s="364" t="n"/>
      <c r="N35" s="364" t="n"/>
      <c r="O35" s="364" t="n"/>
      <c r="P35" s="364" t="n"/>
      <c r="Q35" s="364" t="n"/>
      <c r="R35" s="364" t="n"/>
      <c r="S35" s="364" t="n"/>
      <c r="T35" s="364" t="n"/>
      <c r="U35" s="364" t="n"/>
      <c r="V35" s="364" t="n"/>
      <c r="W35" s="364" t="n"/>
      <c r="X35" s="364" t="n"/>
      <c r="Y35" s="364" t="n"/>
      <c r="Z35" s="364" t="n"/>
    </row>
    <row r="36" ht="15" customHeight="1" s="34">
      <c r="A36" s="364" t="n"/>
      <c r="B36" s="364" t="n"/>
      <c r="C36" s="364" t="n"/>
      <c r="D36" s="364" t="n"/>
      <c r="E36" s="364" t="n"/>
      <c r="F36" s="364" t="n"/>
      <c r="G36" s="364" t="n"/>
      <c r="H36" s="364" t="n"/>
      <c r="I36" s="364" t="n"/>
      <c r="J36" s="364" t="n"/>
      <c r="K36" s="364" t="n"/>
      <c r="L36" s="364" t="n"/>
      <c r="M36" s="364" t="n"/>
      <c r="N36" s="364" t="n"/>
      <c r="O36" s="364" t="n"/>
      <c r="P36" s="364" t="n"/>
      <c r="Q36" s="364" t="n"/>
      <c r="R36" s="364" t="n"/>
      <c r="S36" s="364" t="n"/>
      <c r="T36" s="364" t="n"/>
      <c r="U36" s="364" t="n"/>
      <c r="V36" s="364" t="n"/>
      <c r="W36" s="364" t="n"/>
      <c r="X36" s="364" t="n"/>
      <c r="Y36" s="364" t="n"/>
      <c r="Z36" s="364" t="n"/>
    </row>
    <row r="37" ht="15" customHeight="1" s="34">
      <c r="A37" s="364" t="n"/>
      <c r="B37" s="364" t="n"/>
      <c r="C37" s="364" t="n"/>
      <c r="D37" s="364" t="n"/>
      <c r="E37" s="364" t="n"/>
      <c r="F37" s="364" t="n"/>
      <c r="G37" s="364" t="n"/>
      <c r="H37" s="364" t="n"/>
      <c r="I37" s="364" t="n"/>
      <c r="J37" s="364" t="n"/>
      <c r="K37" s="364" t="n"/>
      <c r="L37" s="364" t="n"/>
      <c r="M37" s="364" t="n"/>
      <c r="N37" s="364" t="n"/>
      <c r="O37" s="364" t="n"/>
      <c r="P37" s="364" t="n"/>
      <c r="Q37" s="364" t="n"/>
      <c r="R37" s="364" t="n"/>
      <c r="S37" s="364" t="n"/>
      <c r="T37" s="364" t="n"/>
      <c r="U37" s="364" t="n"/>
      <c r="V37" s="364" t="n"/>
      <c r="W37" s="364" t="n"/>
      <c r="X37" s="364" t="n"/>
      <c r="Y37" s="364" t="n"/>
      <c r="Z37" s="364" t="n"/>
    </row>
    <row r="38" ht="15" customHeight="1" s="34">
      <c r="A38" s="364" t="n"/>
      <c r="B38" s="364" t="n"/>
      <c r="C38" s="364" t="n"/>
      <c r="D38" s="364" t="n"/>
      <c r="E38" s="364" t="n"/>
      <c r="F38" s="364" t="n"/>
      <c r="G38" s="364" t="n"/>
      <c r="H38" s="364" t="n"/>
      <c r="I38" s="364" t="n"/>
      <c r="J38" s="364" t="n"/>
      <c r="K38" s="364" t="n"/>
      <c r="L38" s="364" t="n"/>
      <c r="M38" s="364" t="n"/>
      <c r="N38" s="364" t="n"/>
      <c r="O38" s="364" t="n"/>
      <c r="P38" s="364" t="n"/>
      <c r="Q38" s="364" t="n"/>
      <c r="R38" s="364" t="n"/>
      <c r="S38" s="364" t="n"/>
      <c r="T38" s="364" t="n"/>
      <c r="U38" s="364" t="n"/>
      <c r="V38" s="364" t="n"/>
      <c r="W38" s="364" t="n"/>
      <c r="X38" s="364" t="n"/>
      <c r="Y38" s="364" t="n"/>
      <c r="Z38" s="364" t="n"/>
    </row>
    <row r="39" ht="15" customHeight="1" s="34">
      <c r="A39" s="364" t="n"/>
      <c r="B39" s="364" t="n"/>
      <c r="C39" s="364" t="n"/>
      <c r="D39" s="364" t="n"/>
      <c r="E39" s="364" t="n"/>
      <c r="F39" s="364" t="n"/>
      <c r="G39" s="364" t="n"/>
      <c r="H39" s="364" t="n"/>
      <c r="I39" s="364" t="n"/>
      <c r="J39" s="364" t="n"/>
      <c r="K39" s="364" t="n"/>
      <c r="L39" s="364" t="n"/>
      <c r="M39" s="364" t="n"/>
      <c r="N39" s="364" t="n"/>
      <c r="O39" s="364" t="n"/>
      <c r="P39" s="364" t="n"/>
      <c r="Q39" s="364" t="n"/>
      <c r="R39" s="364" t="n"/>
      <c r="S39" s="364" t="n"/>
      <c r="T39" s="364" t="n"/>
      <c r="U39" s="364" t="n"/>
      <c r="V39" s="364" t="n"/>
      <c r="W39" s="364" t="n"/>
      <c r="X39" s="364" t="n"/>
      <c r="Y39" s="364" t="n"/>
      <c r="Z39" s="364" t="n"/>
    </row>
    <row r="40" ht="15" customHeight="1" s="34">
      <c r="A40" s="364" t="n"/>
      <c r="B40" s="364" t="n"/>
      <c r="C40" s="364" t="n"/>
      <c r="D40" s="364" t="n"/>
      <c r="E40" s="364" t="n"/>
      <c r="F40" s="364" t="n"/>
      <c r="G40" s="364" t="n"/>
      <c r="H40" s="364" t="n"/>
      <c r="I40" s="364" t="n"/>
      <c r="J40" s="364" t="n"/>
      <c r="K40" s="364" t="n"/>
      <c r="L40" s="364" t="n"/>
      <c r="M40" s="364" t="n"/>
      <c r="N40" s="364" t="n"/>
      <c r="O40" s="364" t="n"/>
      <c r="P40" s="364" t="n"/>
      <c r="Q40" s="364" t="n"/>
      <c r="R40" s="364" t="n"/>
      <c r="S40" s="364" t="n"/>
      <c r="T40" s="364" t="n"/>
      <c r="U40" s="364" t="n"/>
      <c r="V40" s="364" t="n"/>
      <c r="W40" s="364" t="n"/>
      <c r="X40" s="364" t="n"/>
      <c r="Y40" s="364" t="n"/>
      <c r="Z40" s="364" t="n"/>
    </row>
    <row r="41">
      <c r="A41" s="364" t="n"/>
      <c r="B41" s="364" t="n"/>
      <c r="C41" s="364" t="n"/>
      <c r="D41" s="364" t="n"/>
      <c r="E41" s="364" t="n"/>
      <c r="F41" s="364" t="n"/>
      <c r="G41" s="364" t="n"/>
      <c r="H41" s="364" t="n"/>
      <c r="I41" s="364" t="n"/>
      <c r="J41" s="364" t="n"/>
      <c r="K41" s="364" t="n"/>
      <c r="L41" s="364" t="n"/>
      <c r="M41" s="364" t="n"/>
      <c r="N41" s="364" t="n"/>
      <c r="O41" s="364" t="n"/>
      <c r="P41" s="364" t="n"/>
      <c r="Q41" s="364" t="n"/>
      <c r="R41" s="364" t="n"/>
      <c r="S41" s="364" t="n"/>
      <c r="T41" s="364" t="n"/>
      <c r="U41" s="364" t="n"/>
      <c r="V41" s="364" t="n"/>
      <c r="W41" s="364" t="n"/>
      <c r="X41" s="364" t="n"/>
      <c r="Y41" s="364" t="n"/>
      <c r="Z41" s="364" t="n"/>
    </row>
    <row r="42">
      <c r="A42" s="364" t="n"/>
      <c r="B42" s="364" t="n"/>
      <c r="C42" s="364" t="n"/>
      <c r="D42" s="364" t="n"/>
      <c r="E42" s="364" t="n"/>
      <c r="F42" s="364" t="n"/>
      <c r="G42" s="364" t="n"/>
      <c r="H42" s="364" t="n"/>
      <c r="I42" s="364" t="n"/>
      <c r="J42" s="364" t="n"/>
      <c r="K42" s="364" t="n"/>
      <c r="L42" s="364" t="n"/>
      <c r="M42" s="364" t="n"/>
      <c r="N42" s="364" t="n"/>
      <c r="O42" s="364" t="n"/>
      <c r="P42" s="364" t="n"/>
      <c r="Q42" s="364" t="n"/>
      <c r="R42" s="364" t="n"/>
      <c r="S42" s="364" t="n"/>
      <c r="T42" s="364" t="n"/>
      <c r="U42" s="364" t="n"/>
      <c r="V42" s="364" t="n"/>
      <c r="W42" s="364" t="n"/>
      <c r="X42" s="364" t="n"/>
      <c r="Y42" s="364" t="n"/>
      <c r="Z42" s="364" t="n"/>
    </row>
    <row r="43">
      <c r="A43" s="364" t="n"/>
      <c r="B43" s="364" t="n"/>
      <c r="C43" s="364" t="n"/>
      <c r="D43" s="364" t="n"/>
      <c r="E43" s="364" t="n"/>
      <c r="F43" s="364" t="n"/>
      <c r="G43" s="364" t="n"/>
      <c r="H43" s="364" t="n"/>
      <c r="I43" s="364" t="n"/>
      <c r="J43" s="364" t="n"/>
      <c r="K43" s="364" t="n"/>
      <c r="L43" s="364" t="n"/>
      <c r="M43" s="364" t="n"/>
      <c r="N43" s="364" t="n"/>
      <c r="O43" s="364" t="n"/>
      <c r="P43" s="364" t="n"/>
      <c r="Q43" s="364" t="n"/>
      <c r="R43" s="364" t="n"/>
      <c r="S43" s="364" t="n"/>
      <c r="T43" s="364" t="n"/>
      <c r="U43" s="364" t="n"/>
      <c r="V43" s="364" t="n"/>
      <c r="W43" s="364" t="n"/>
      <c r="X43" s="364" t="n"/>
      <c r="Y43" s="364" t="n"/>
      <c r="Z43" s="364" t="n"/>
    </row>
    <row r="44">
      <c r="A44" s="364" t="n"/>
      <c r="B44" s="364" t="n"/>
      <c r="C44" s="364" t="n"/>
      <c r="D44" s="364" t="n"/>
      <c r="E44" s="364" t="n"/>
      <c r="F44" s="364" t="n"/>
      <c r="G44" s="364" t="n"/>
      <c r="H44" s="364" t="n"/>
      <c r="I44" s="364" t="n"/>
      <c r="J44" s="364" t="n"/>
      <c r="K44" s="364" t="n"/>
      <c r="L44" s="364" t="n"/>
      <c r="M44" s="364" t="n"/>
      <c r="N44" s="364" t="n"/>
      <c r="O44" s="364" t="n"/>
      <c r="P44" s="364" t="n"/>
      <c r="Q44" s="364" t="n"/>
      <c r="R44" s="364" t="n"/>
      <c r="S44" s="364" t="n"/>
      <c r="T44" s="364" t="n"/>
      <c r="U44" s="364" t="n"/>
      <c r="V44" s="364" t="n"/>
      <c r="W44" s="364" t="n"/>
      <c r="X44" s="364" t="n"/>
      <c r="Y44" s="364" t="n"/>
      <c r="Z44" s="364" t="n"/>
    </row>
    <row r="45">
      <c r="A45" s="364" t="n"/>
      <c r="B45" s="364" t="n"/>
      <c r="C45" s="364" t="n"/>
      <c r="D45" s="364" t="n"/>
      <c r="E45" s="364" t="n"/>
      <c r="F45" s="364" t="n"/>
      <c r="G45" s="364" t="n"/>
      <c r="H45" s="364" t="n"/>
      <c r="I45" s="364" t="n"/>
      <c r="J45" s="364" t="n"/>
      <c r="K45" s="364" t="n"/>
      <c r="L45" s="364" t="n"/>
      <c r="M45" s="364" t="n"/>
      <c r="N45" s="364" t="n"/>
      <c r="O45" s="364" t="n"/>
      <c r="P45" s="364" t="n"/>
      <c r="Q45" s="364" t="n"/>
      <c r="R45" s="364" t="n"/>
      <c r="S45" s="364" t="n"/>
      <c r="T45" s="364" t="n"/>
      <c r="U45" s="364" t="n"/>
      <c r="V45" s="364" t="n"/>
      <c r="W45" s="364" t="n"/>
      <c r="X45" s="364" t="n"/>
      <c r="Y45" s="364" t="n"/>
      <c r="Z45" s="364" t="n"/>
    </row>
    <row r="46">
      <c r="A46" s="364" t="n"/>
      <c r="B46" s="364" t="n"/>
      <c r="C46" s="364" t="n"/>
      <c r="D46" s="364" t="n"/>
      <c r="E46" s="364" t="n"/>
      <c r="F46" s="364" t="n"/>
      <c r="G46" s="364" t="n"/>
      <c r="H46" s="364" t="n"/>
      <c r="I46" s="364" t="n"/>
      <c r="J46" s="364" t="n"/>
      <c r="K46" s="364" t="n"/>
      <c r="L46" s="364" t="n"/>
      <c r="M46" s="364" t="n"/>
      <c r="N46" s="364" t="n"/>
      <c r="O46" s="364" t="n"/>
      <c r="P46" s="364" t="n"/>
      <c r="Q46" s="364" t="n"/>
      <c r="R46" s="364" t="n"/>
      <c r="S46" s="364" t="n"/>
      <c r="T46" s="364" t="n"/>
      <c r="U46" s="364" t="n"/>
      <c r="V46" s="364" t="n"/>
      <c r="W46" s="364" t="n"/>
      <c r="X46" s="364" t="n"/>
      <c r="Y46" s="364" t="n"/>
      <c r="Z46" s="364" t="n"/>
    </row>
    <row r="47">
      <c r="A47" s="364" t="n"/>
      <c r="B47" s="364" t="n"/>
      <c r="C47" s="364" t="n"/>
      <c r="D47" s="364" t="n"/>
      <c r="E47" s="364" t="n"/>
      <c r="F47" s="364" t="n"/>
      <c r="G47" s="364" t="n"/>
      <c r="H47" s="364" t="n"/>
      <c r="I47" s="364" t="n"/>
      <c r="J47" s="364" t="n"/>
      <c r="K47" s="364" t="n"/>
      <c r="L47" s="364" t="n"/>
      <c r="M47" s="364" t="n"/>
      <c r="N47" s="364" t="n"/>
      <c r="O47" s="364" t="n"/>
      <c r="P47" s="364" t="n"/>
      <c r="Q47" s="364" t="n"/>
      <c r="R47" s="364" t="n"/>
      <c r="S47" s="364" t="n"/>
      <c r="T47" s="364" t="n"/>
      <c r="U47" s="364" t="n"/>
      <c r="V47" s="364" t="n"/>
      <c r="W47" s="364" t="n"/>
      <c r="X47" s="364" t="n"/>
      <c r="Y47" s="364" t="n"/>
      <c r="Z47" s="364" t="n"/>
    </row>
    <row r="48">
      <c r="A48" s="364" t="n"/>
      <c r="B48" s="364" t="n"/>
      <c r="C48" s="364" t="n"/>
      <c r="D48" s="364" t="n"/>
      <c r="E48" s="364" t="n"/>
      <c r="F48" s="364" t="n"/>
      <c r="G48" s="364" t="n"/>
      <c r="H48" s="364" t="n"/>
      <c r="I48" s="364" t="n"/>
      <c r="J48" s="364" t="n"/>
      <c r="K48" s="364" t="n"/>
      <c r="L48" s="364" t="n"/>
      <c r="M48" s="364" t="n"/>
      <c r="N48" s="364" t="n"/>
      <c r="O48" s="364" t="n"/>
      <c r="P48" s="364" t="n"/>
      <c r="Q48" s="364" t="n"/>
      <c r="R48" s="364" t="n"/>
      <c r="S48" s="364" t="n"/>
      <c r="T48" s="364" t="n"/>
      <c r="U48" s="364" t="n"/>
      <c r="V48" s="364" t="n"/>
      <c r="W48" s="364" t="n"/>
      <c r="X48" s="364" t="n"/>
      <c r="Y48" s="364" t="n"/>
      <c r="Z48" s="364" t="n"/>
    </row>
    <row r="49">
      <c r="A49" s="364" t="n"/>
      <c r="B49" s="364" t="n"/>
      <c r="C49" s="364" t="n"/>
      <c r="D49" s="364" t="n"/>
      <c r="E49" s="364" t="n"/>
      <c r="F49" s="364" t="n"/>
      <c r="G49" s="364" t="n"/>
      <c r="H49" s="364" t="n"/>
      <c r="I49" s="364" t="n"/>
      <c r="J49" s="364" t="n"/>
      <c r="K49" s="364" t="n"/>
      <c r="L49" s="364" t="n"/>
      <c r="M49" s="364" t="n"/>
      <c r="N49" s="364" t="n"/>
      <c r="O49" s="364" t="n"/>
      <c r="P49" s="364" t="n"/>
      <c r="Q49" s="364" t="n"/>
      <c r="R49" s="364" t="n"/>
      <c r="S49" s="364" t="n"/>
      <c r="T49" s="364" t="n"/>
      <c r="U49" s="364" t="n"/>
      <c r="V49" s="364" t="n"/>
      <c r="W49" s="364" t="n"/>
      <c r="X49" s="364" t="n"/>
      <c r="Y49" s="364" t="n"/>
      <c r="Z49" s="364" t="n"/>
    </row>
    <row r="50">
      <c r="A50" s="364" t="n"/>
      <c r="B50" s="364" t="n"/>
      <c r="C50" s="364" t="n"/>
      <c r="D50" s="364" t="n"/>
      <c r="E50" s="364" t="n"/>
      <c r="F50" s="364" t="n"/>
      <c r="G50" s="364" t="n"/>
      <c r="H50" s="364" t="n"/>
      <c r="I50" s="364" t="n"/>
      <c r="J50" s="364" t="n"/>
      <c r="K50" s="364" t="n"/>
      <c r="L50" s="364" t="n"/>
      <c r="M50" s="364" t="n"/>
      <c r="N50" s="364" t="n"/>
      <c r="O50" s="364" t="n"/>
      <c r="P50" s="364" t="n"/>
      <c r="Q50" s="364" t="n"/>
      <c r="R50" s="364" t="n"/>
      <c r="S50" s="364" t="n"/>
      <c r="T50" s="364" t="n"/>
      <c r="U50" s="364" t="n"/>
      <c r="V50" s="364" t="n"/>
      <c r="W50" s="364" t="n"/>
      <c r="X50" s="364" t="n"/>
      <c r="Y50" s="364" t="n"/>
      <c r="Z50" s="364" t="n"/>
    </row>
    <row r="51">
      <c r="A51" s="364" t="n"/>
      <c r="B51" s="364" t="n"/>
      <c r="C51" s="364" t="n"/>
      <c r="D51" s="364" t="n"/>
      <c r="E51" s="364" t="n"/>
      <c r="F51" s="364" t="n"/>
      <c r="G51" s="364" t="n"/>
      <c r="H51" s="364" t="n"/>
      <c r="I51" s="364" t="n"/>
      <c r="J51" s="364" t="n"/>
      <c r="K51" s="364" t="n"/>
      <c r="L51" s="364" t="n"/>
      <c r="M51" s="364" t="n"/>
      <c r="N51" s="364" t="n"/>
      <c r="O51" s="364" t="n"/>
      <c r="P51" s="364" t="n"/>
      <c r="Q51" s="364" t="n"/>
      <c r="R51" s="364" t="n"/>
      <c r="S51" s="364" t="n"/>
      <c r="T51" s="364" t="n"/>
      <c r="U51" s="364" t="n"/>
      <c r="V51" s="364" t="n"/>
      <c r="W51" s="364" t="n"/>
      <c r="X51" s="364" t="n"/>
      <c r="Y51" s="364" t="n"/>
      <c r="Z51" s="364" t="n"/>
    </row>
    <row r="52">
      <c r="A52" s="364" t="n"/>
      <c r="B52" s="364" t="n"/>
      <c r="C52" s="364" t="n"/>
      <c r="D52" s="364" t="n"/>
      <c r="E52" s="364" t="n"/>
      <c r="F52" s="364" t="n"/>
      <c r="G52" s="364" t="n"/>
      <c r="H52" s="364" t="n"/>
      <c r="I52" s="364" t="n"/>
      <c r="J52" s="364" t="n"/>
      <c r="K52" s="364" t="n"/>
      <c r="L52" s="364" t="n"/>
      <c r="M52" s="364" t="n"/>
      <c r="N52" s="364" t="n"/>
      <c r="O52" s="364" t="n"/>
      <c r="P52" s="364" t="n"/>
      <c r="Q52" s="364" t="n"/>
      <c r="R52" s="364" t="n"/>
      <c r="S52" s="364" t="n"/>
      <c r="T52" s="364" t="n"/>
      <c r="U52" s="364" t="n"/>
      <c r="V52" s="364" t="n"/>
      <c r="W52" s="364" t="n"/>
      <c r="X52" s="364" t="n"/>
      <c r="Y52" s="364" t="n"/>
      <c r="Z52" s="364" t="n"/>
    </row>
    <row r="53">
      <c r="A53" s="364" t="n"/>
      <c r="B53" s="364" t="n"/>
      <c r="C53" s="364" t="n"/>
      <c r="D53" s="364" t="n"/>
      <c r="E53" s="364" t="n"/>
      <c r="F53" s="364" t="n"/>
      <c r="G53" s="364" t="n"/>
      <c r="H53" s="364" t="n"/>
      <c r="I53" s="364" t="n"/>
      <c r="J53" s="364" t="n"/>
      <c r="K53" s="364" t="n"/>
      <c r="L53" s="364" t="n"/>
      <c r="M53" s="364" t="n"/>
      <c r="N53" s="364" t="n"/>
      <c r="O53" s="364" t="n"/>
      <c r="P53" s="364" t="n"/>
      <c r="Q53" s="364" t="n"/>
      <c r="R53" s="364" t="n"/>
      <c r="S53" s="364" t="n"/>
      <c r="T53" s="364" t="n"/>
      <c r="U53" s="364" t="n"/>
      <c r="V53" s="364" t="n"/>
      <c r="W53" s="364" t="n"/>
      <c r="X53" s="364" t="n"/>
      <c r="Y53" s="364" t="n"/>
      <c r="Z53" s="364" t="n"/>
    </row>
    <row r="54">
      <c r="A54" s="364" t="n"/>
      <c r="B54" s="364" t="n"/>
      <c r="C54" s="364" t="n"/>
      <c r="D54" s="364" t="n"/>
      <c r="E54" s="364" t="n"/>
      <c r="F54" s="364" t="n"/>
      <c r="G54" s="364" t="n"/>
      <c r="H54" s="364" t="n"/>
      <c r="I54" s="364" t="n"/>
      <c r="J54" s="364" t="n"/>
      <c r="K54" s="364" t="n"/>
      <c r="L54" s="364" t="n"/>
      <c r="M54" s="364" t="n"/>
      <c r="N54" s="364" t="n"/>
      <c r="O54" s="364" t="n"/>
      <c r="P54" s="364" t="n"/>
      <c r="Q54" s="364" t="n"/>
      <c r="R54" s="364" t="n"/>
      <c r="S54" s="364" t="n"/>
      <c r="T54" s="364" t="n"/>
      <c r="U54" s="364" t="n"/>
      <c r="V54" s="364" t="n"/>
      <c r="W54" s="364" t="n"/>
      <c r="X54" s="364" t="n"/>
      <c r="Y54" s="364" t="n"/>
      <c r="Z54" s="364" t="n"/>
    </row>
    <row r="55">
      <c r="A55" s="364" t="n"/>
      <c r="B55" s="364" t="n"/>
      <c r="C55" s="364" t="n"/>
      <c r="D55" s="364" t="n"/>
      <c r="E55" s="364" t="n"/>
      <c r="F55" s="364" t="n"/>
      <c r="G55" s="364" t="n"/>
      <c r="H55" s="364" t="n"/>
      <c r="I55" s="364" t="n"/>
      <c r="J55" s="364" t="n"/>
      <c r="K55" s="364" t="n"/>
      <c r="L55" s="364" t="n"/>
      <c r="M55" s="364" t="n"/>
      <c r="N55" s="364" t="n"/>
      <c r="O55" s="364" t="n"/>
      <c r="P55" s="364" t="n"/>
      <c r="Q55" s="364" t="n"/>
      <c r="R55" s="364" t="n"/>
      <c r="S55" s="364" t="n"/>
      <c r="T55" s="364" t="n"/>
      <c r="U55" s="364" t="n"/>
      <c r="V55" s="364" t="n"/>
      <c r="W55" s="364" t="n"/>
      <c r="X55" s="364" t="n"/>
      <c r="Y55" s="364" t="n"/>
      <c r="Z55" s="364" t="n"/>
    </row>
    <row r="56">
      <c r="A56" s="364" t="n"/>
      <c r="B56" s="364" t="n"/>
      <c r="C56" s="364" t="n"/>
      <c r="D56" s="364" t="n"/>
      <c r="E56" s="364" t="n"/>
      <c r="F56" s="364" t="n"/>
      <c r="G56" s="364" t="n"/>
      <c r="H56" s="364" t="n"/>
      <c r="I56" s="364" t="n"/>
      <c r="J56" s="364" t="n"/>
      <c r="K56" s="364" t="n"/>
      <c r="L56" s="364" t="n"/>
      <c r="M56" s="364" t="n"/>
      <c r="N56" s="364" t="n"/>
      <c r="O56" s="364" t="n"/>
      <c r="P56" s="364" t="n"/>
      <c r="Q56" s="364" t="n"/>
      <c r="R56" s="364" t="n"/>
      <c r="S56" s="364" t="n"/>
      <c r="T56" s="364" t="n"/>
      <c r="U56" s="364" t="n"/>
      <c r="V56" s="364" t="n"/>
      <c r="W56" s="364" t="n"/>
      <c r="X56" s="364" t="n"/>
      <c r="Y56" s="364" t="n"/>
      <c r="Z56" s="364" t="n"/>
    </row>
    <row r="57">
      <c r="A57" s="364" t="n"/>
      <c r="B57" s="364" t="n"/>
      <c r="C57" s="364" t="n"/>
      <c r="D57" s="364" t="n"/>
      <c r="E57" s="364" t="n"/>
      <c r="F57" s="364" t="n"/>
      <c r="G57" s="364" t="n"/>
      <c r="H57" s="364" t="n"/>
      <c r="I57" s="364" t="n"/>
      <c r="J57" s="364" t="n"/>
      <c r="K57" s="364" t="n"/>
      <c r="L57" s="364" t="n"/>
      <c r="M57" s="364" t="n"/>
      <c r="N57" s="364" t="n"/>
      <c r="O57" s="364" t="n"/>
      <c r="P57" s="364" t="n"/>
      <c r="Q57" s="364" t="n"/>
      <c r="R57" s="364" t="n"/>
      <c r="S57" s="364" t="n"/>
      <c r="T57" s="364" t="n"/>
      <c r="U57" s="364" t="n"/>
      <c r="V57" s="364" t="n"/>
      <c r="W57" s="364" t="n"/>
      <c r="X57" s="364" t="n"/>
      <c r="Y57" s="364" t="n"/>
      <c r="Z57" s="364" t="n"/>
    </row>
    <row r="58">
      <c r="A58" s="364" t="n"/>
      <c r="B58" s="364" t="n"/>
      <c r="C58" s="364" t="n"/>
      <c r="D58" s="364" t="n"/>
      <c r="E58" s="364" t="n"/>
      <c r="F58" s="364" t="n"/>
      <c r="G58" s="364" t="n"/>
      <c r="H58" s="364" t="n"/>
      <c r="I58" s="364" t="n"/>
      <c r="J58" s="364" t="n"/>
      <c r="K58" s="364" t="n"/>
      <c r="L58" s="364" t="n"/>
      <c r="M58" s="364" t="n"/>
      <c r="N58" s="364" t="n"/>
      <c r="O58" s="364" t="n"/>
      <c r="P58" s="364" t="n"/>
      <c r="Q58" s="364" t="n"/>
      <c r="R58" s="364" t="n"/>
      <c r="S58" s="364" t="n"/>
      <c r="T58" s="364" t="n"/>
      <c r="U58" s="364" t="n"/>
      <c r="V58" s="364" t="n"/>
      <c r="W58" s="364" t="n"/>
      <c r="X58" s="364" t="n"/>
      <c r="Y58" s="364" t="n"/>
      <c r="Z58" s="364" t="n"/>
    </row>
    <row r="59">
      <c r="A59" s="364" t="n"/>
      <c r="B59" s="364" t="n"/>
      <c r="C59" s="364" t="n"/>
      <c r="D59" s="364" t="n"/>
      <c r="E59" s="364" t="n"/>
      <c r="F59" s="364" t="n"/>
      <c r="G59" s="364" t="n"/>
      <c r="H59" s="364" t="n"/>
      <c r="I59" s="364" t="n"/>
      <c r="J59" s="364" t="n"/>
      <c r="K59" s="364" t="n"/>
      <c r="L59" s="364" t="n"/>
      <c r="M59" s="364" t="n"/>
      <c r="N59" s="364" t="n"/>
      <c r="O59" s="364" t="n"/>
      <c r="P59" s="364" t="n"/>
      <c r="Q59" s="364" t="n"/>
      <c r="R59" s="364" t="n"/>
      <c r="S59" s="364" t="n"/>
      <c r="T59" s="364" t="n"/>
      <c r="U59" s="364" t="n"/>
      <c r="V59" s="364" t="n"/>
      <c r="W59" s="364" t="n"/>
      <c r="X59" s="364" t="n"/>
      <c r="Y59" s="364" t="n"/>
      <c r="Z59" s="364" t="n"/>
    </row>
    <row r="60">
      <c r="A60" s="364" t="n"/>
      <c r="B60" s="364" t="n"/>
      <c r="C60" s="364" t="n"/>
      <c r="D60" s="364" t="n"/>
      <c r="E60" s="364" t="n"/>
      <c r="F60" s="364" t="n"/>
      <c r="G60" s="364" t="n"/>
      <c r="H60" s="364" t="n"/>
      <c r="I60" s="364" t="n"/>
      <c r="J60" s="364" t="n"/>
      <c r="K60" s="364" t="n"/>
      <c r="L60" s="364" t="n"/>
      <c r="M60" s="364" t="n"/>
      <c r="N60" s="364" t="n"/>
      <c r="O60" s="364" t="n"/>
      <c r="P60" s="364" t="n"/>
      <c r="Q60" s="364" t="n"/>
      <c r="R60" s="364" t="n"/>
      <c r="S60" s="364" t="n"/>
      <c r="T60" s="364" t="n"/>
      <c r="U60" s="364" t="n"/>
      <c r="V60" s="364" t="n"/>
      <c r="W60" s="364" t="n"/>
      <c r="X60" s="364" t="n"/>
      <c r="Y60" s="364" t="n"/>
      <c r="Z60" s="364" t="n"/>
    </row>
    <row r="61">
      <c r="A61" s="364" t="n"/>
      <c r="B61" s="364" t="n"/>
      <c r="C61" s="364" t="n"/>
      <c r="D61" s="364" t="n"/>
      <c r="E61" s="364" t="n"/>
      <c r="F61" s="364" t="n"/>
      <c r="G61" s="364" t="n"/>
      <c r="H61" s="364" t="n"/>
      <c r="I61" s="364" t="n"/>
      <c r="J61" s="364" t="n"/>
      <c r="K61" s="364" t="n"/>
      <c r="L61" s="364" t="n"/>
      <c r="M61" s="364" t="n"/>
      <c r="N61" s="364" t="n"/>
      <c r="O61" s="364" t="n"/>
      <c r="P61" s="364" t="n"/>
      <c r="Q61" s="364" t="n"/>
      <c r="R61" s="364" t="n"/>
      <c r="S61" s="364" t="n"/>
      <c r="T61" s="364" t="n"/>
      <c r="U61" s="364" t="n"/>
      <c r="V61" s="364" t="n"/>
      <c r="W61" s="364" t="n"/>
      <c r="X61" s="364" t="n"/>
      <c r="Y61" s="364" t="n"/>
      <c r="Z61" s="364" t="n"/>
    </row>
    <row r="62">
      <c r="A62" s="364" t="n"/>
      <c r="B62" s="364" t="n"/>
      <c r="C62" s="364" t="n"/>
      <c r="D62" s="364" t="n"/>
      <c r="E62" s="364" t="n"/>
      <c r="F62" s="364" t="n"/>
      <c r="G62" s="364" t="n"/>
      <c r="H62" s="364" t="n"/>
      <c r="I62" s="364" t="n"/>
      <c r="J62" s="364" t="n"/>
      <c r="K62" s="364" t="n"/>
      <c r="L62" s="364" t="n"/>
      <c r="M62" s="364" t="n"/>
      <c r="N62" s="364" t="n"/>
      <c r="O62" s="364" t="n"/>
      <c r="P62" s="364" t="n"/>
      <c r="Q62" s="364" t="n"/>
      <c r="R62" s="364" t="n"/>
      <c r="S62" s="364" t="n"/>
      <c r="T62" s="364" t="n"/>
      <c r="U62" s="364" t="n"/>
      <c r="V62" s="364" t="n"/>
      <c r="W62" s="364" t="n"/>
      <c r="X62" s="364" t="n"/>
      <c r="Y62" s="364" t="n"/>
      <c r="Z62" s="364" t="n"/>
    </row>
    <row r="63">
      <c r="A63" s="364" t="n"/>
      <c r="B63" s="364" t="n"/>
      <c r="C63" s="364" t="n"/>
      <c r="D63" s="364" t="n"/>
      <c r="E63" s="364" t="n"/>
      <c r="F63" s="364" t="n"/>
      <c r="G63" s="364" t="n"/>
      <c r="H63" s="364" t="n"/>
      <c r="I63" s="364" t="n"/>
      <c r="J63" s="364" t="n"/>
      <c r="K63" s="364" t="n"/>
      <c r="L63" s="364" t="n"/>
      <c r="M63" s="364" t="n"/>
      <c r="N63" s="364" t="n"/>
      <c r="O63" s="364" t="n"/>
      <c r="P63" s="364" t="n"/>
      <c r="Q63" s="364" t="n"/>
      <c r="R63" s="364" t="n"/>
      <c r="S63" s="364" t="n"/>
      <c r="T63" s="364" t="n"/>
      <c r="U63" s="364" t="n"/>
      <c r="V63" s="364" t="n"/>
      <c r="W63" s="364" t="n"/>
      <c r="X63" s="364" t="n"/>
      <c r="Y63" s="364" t="n"/>
      <c r="Z63" s="364" t="n"/>
    </row>
    <row r="64">
      <c r="A64" s="364" t="n"/>
      <c r="B64" s="364" t="n"/>
      <c r="C64" s="364" t="n"/>
      <c r="D64" s="364" t="n"/>
      <c r="E64" s="364" t="n"/>
      <c r="F64" s="364" t="n"/>
      <c r="G64" s="364" t="n"/>
      <c r="H64" s="364" t="n"/>
      <c r="I64" s="364" t="n"/>
      <c r="J64" s="364" t="n"/>
      <c r="K64" s="364" t="n"/>
      <c r="L64" s="364" t="n"/>
      <c r="M64" s="364" t="n"/>
      <c r="N64" s="364" t="n"/>
      <c r="O64" s="364" t="n"/>
      <c r="P64" s="364" t="n"/>
      <c r="Q64" s="364" t="n"/>
      <c r="R64" s="364" t="n"/>
      <c r="S64" s="364" t="n"/>
      <c r="T64" s="364" t="n"/>
      <c r="U64" s="364" t="n"/>
      <c r="V64" s="364" t="n"/>
      <c r="W64" s="364" t="n"/>
      <c r="X64" s="364" t="n"/>
      <c r="Y64" s="364" t="n"/>
      <c r="Z64" s="364" t="n"/>
    </row>
    <row r="65">
      <c r="A65" s="364" t="n"/>
      <c r="B65" s="364" t="n"/>
      <c r="C65" s="364" t="n"/>
      <c r="D65" s="364" t="n"/>
      <c r="E65" s="364" t="n"/>
      <c r="F65" s="364" t="n"/>
      <c r="G65" s="364" t="n"/>
      <c r="H65" s="364" t="n"/>
      <c r="I65" s="364" t="n"/>
      <c r="J65" s="364" t="n"/>
      <c r="K65" s="364" t="n"/>
      <c r="L65" s="364" t="n"/>
      <c r="M65" s="364" t="n"/>
      <c r="N65" s="364" t="n"/>
      <c r="O65" s="364" t="n"/>
      <c r="P65" s="364" t="n"/>
      <c r="Q65" s="364" t="n"/>
      <c r="R65" s="364" t="n"/>
      <c r="S65" s="364" t="n"/>
      <c r="T65" s="364" t="n"/>
      <c r="U65" s="364" t="n"/>
      <c r="V65" s="364" t="n"/>
      <c r="W65" s="364" t="n"/>
      <c r="X65" s="364" t="n"/>
      <c r="Y65" s="364" t="n"/>
      <c r="Z65" s="364" t="n"/>
    </row>
    <row r="66">
      <c r="A66" s="364" t="n"/>
      <c r="B66" s="364" t="n"/>
      <c r="C66" s="364" t="n"/>
      <c r="D66" s="364" t="n"/>
      <c r="E66" s="364" t="n"/>
      <c r="F66" s="364" t="n"/>
      <c r="G66" s="364" t="n"/>
      <c r="H66" s="364" t="n"/>
      <c r="I66" s="364" t="n"/>
      <c r="J66" s="364" t="n"/>
      <c r="K66" s="364" t="n"/>
      <c r="L66" s="364" t="n"/>
      <c r="M66" s="364" t="n"/>
      <c r="N66" s="364" t="n"/>
      <c r="O66" s="364" t="n"/>
      <c r="P66" s="364" t="n"/>
      <c r="Q66" s="364" t="n"/>
      <c r="R66" s="364" t="n"/>
      <c r="S66" s="364" t="n"/>
      <c r="T66" s="364" t="n"/>
      <c r="U66" s="364" t="n"/>
      <c r="V66" s="364" t="n"/>
      <c r="W66" s="364" t="n"/>
      <c r="X66" s="364" t="n"/>
      <c r="Y66" s="364" t="n"/>
      <c r="Z66" s="364" t="n"/>
    </row>
    <row r="67">
      <c r="A67" s="364" t="n"/>
      <c r="B67" s="364" t="n"/>
      <c r="C67" s="364" t="n"/>
      <c r="D67" s="364" t="n"/>
      <c r="E67" s="364" t="n"/>
      <c r="F67" s="364" t="n"/>
      <c r="G67" s="364" t="n"/>
      <c r="H67" s="364" t="n"/>
      <c r="I67" s="364" t="n"/>
      <c r="J67" s="364" t="n"/>
      <c r="K67" s="364" t="n"/>
      <c r="L67" s="364" t="n"/>
      <c r="M67" s="364" t="n"/>
      <c r="N67" s="364" t="n"/>
      <c r="O67" s="364" t="n"/>
      <c r="P67" s="364" t="n"/>
      <c r="Q67" s="364" t="n"/>
      <c r="R67" s="364" t="n"/>
      <c r="S67" s="364" t="n"/>
      <c r="T67" s="364" t="n"/>
      <c r="U67" s="364" t="n"/>
      <c r="V67" s="364" t="n"/>
      <c r="W67" s="364" t="n"/>
      <c r="X67" s="364" t="n"/>
      <c r="Y67" s="364" t="n"/>
      <c r="Z67" s="364" t="n"/>
    </row>
    <row r="68">
      <c r="A68" s="364" t="n"/>
      <c r="B68" s="364" t="n"/>
      <c r="C68" s="364" t="n"/>
      <c r="D68" s="364" t="n"/>
      <c r="E68" s="364" t="n"/>
      <c r="F68" s="364" t="n"/>
      <c r="G68" s="364" t="n"/>
      <c r="H68" s="364" t="n"/>
      <c r="I68" s="364" t="n"/>
      <c r="J68" s="364" t="n"/>
      <c r="K68" s="364" t="n"/>
      <c r="L68" s="364" t="n"/>
      <c r="M68" s="364" t="n"/>
      <c r="N68" s="364" t="n"/>
      <c r="O68" s="364" t="n"/>
      <c r="P68" s="364" t="n"/>
      <c r="Q68" s="364" t="n"/>
      <c r="R68" s="364" t="n"/>
      <c r="S68" s="364" t="n"/>
      <c r="T68" s="364" t="n"/>
      <c r="U68" s="364" t="n"/>
      <c r="V68" s="364" t="n"/>
      <c r="W68" s="364" t="n"/>
      <c r="X68" s="364" t="n"/>
      <c r="Y68" s="364" t="n"/>
      <c r="Z68" s="364" t="n"/>
    </row>
    <row r="69">
      <c r="A69" s="364" t="n"/>
      <c r="B69" s="364" t="n"/>
      <c r="C69" s="364" t="n"/>
      <c r="D69" s="364" t="n"/>
      <c r="E69" s="364" t="n"/>
      <c r="F69" s="364" t="n"/>
      <c r="G69" s="364" t="n"/>
      <c r="H69" s="364" t="n"/>
      <c r="I69" s="364" t="n"/>
      <c r="J69" s="364" t="n"/>
      <c r="K69" s="364" t="n"/>
      <c r="L69" s="364" t="n"/>
      <c r="M69" s="364" t="n"/>
      <c r="N69" s="364" t="n"/>
      <c r="O69" s="364" t="n"/>
      <c r="P69" s="364" t="n"/>
      <c r="Q69" s="364" t="n"/>
      <c r="R69" s="364" t="n"/>
      <c r="S69" s="364" t="n"/>
      <c r="T69" s="364" t="n"/>
      <c r="U69" s="364" t="n"/>
      <c r="V69" s="364" t="n"/>
      <c r="W69" s="364" t="n"/>
      <c r="X69" s="364" t="n"/>
      <c r="Y69" s="364" t="n"/>
      <c r="Z69" s="364" t="n"/>
    </row>
    <row r="70">
      <c r="A70" s="364" t="n"/>
      <c r="B70" s="364" t="n"/>
      <c r="C70" s="364" t="n"/>
      <c r="D70" s="364" t="n"/>
      <c r="E70" s="364" t="n"/>
      <c r="F70" s="364" t="n"/>
      <c r="G70" s="364" t="n"/>
      <c r="H70" s="364" t="n"/>
      <c r="I70" s="364" t="n"/>
      <c r="J70" s="364" t="n"/>
      <c r="K70" s="364" t="n"/>
      <c r="L70" s="364" t="n"/>
      <c r="M70" s="364" t="n"/>
      <c r="N70" s="364" t="n"/>
      <c r="O70" s="364" t="n"/>
      <c r="P70" s="364" t="n"/>
      <c r="Q70" s="364" t="n"/>
      <c r="R70" s="364" t="n"/>
      <c r="S70" s="364" t="n"/>
      <c r="T70" s="364" t="n"/>
      <c r="U70" s="364" t="n"/>
      <c r="V70" s="364" t="n"/>
      <c r="W70" s="364" t="n"/>
      <c r="X70" s="364" t="n"/>
      <c r="Y70" s="364" t="n"/>
      <c r="Z70" s="364" t="n"/>
    </row>
    <row r="71">
      <c r="A71" s="364" t="n"/>
      <c r="B71" s="364" t="n"/>
      <c r="C71" s="364" t="n"/>
      <c r="D71" s="364" t="n"/>
      <c r="E71" s="364" t="n"/>
      <c r="F71" s="364" t="n"/>
      <c r="G71" s="364" t="n"/>
      <c r="H71" s="364" t="n"/>
      <c r="I71" s="364" t="n"/>
      <c r="J71" s="364" t="n"/>
      <c r="K71" s="364" t="n"/>
      <c r="L71" s="364" t="n"/>
      <c r="M71" s="364" t="n"/>
      <c r="N71" s="364" t="n"/>
      <c r="O71" s="364" t="n"/>
      <c r="P71" s="364" t="n"/>
      <c r="Q71" s="364" t="n"/>
      <c r="R71" s="364" t="n"/>
      <c r="S71" s="364" t="n"/>
      <c r="T71" s="364" t="n"/>
      <c r="U71" s="364" t="n"/>
      <c r="V71" s="364" t="n"/>
      <c r="W71" s="364" t="n"/>
      <c r="X71" s="364" t="n"/>
      <c r="Y71" s="364" t="n"/>
      <c r="Z71" s="364" t="n"/>
    </row>
    <row r="72">
      <c r="A72" s="364" t="n"/>
      <c r="B72" s="364" t="n"/>
      <c r="C72" s="364" t="n"/>
      <c r="D72" s="364" t="n"/>
      <c r="E72" s="364" t="n"/>
      <c r="F72" s="364" t="n"/>
      <c r="G72" s="364" t="n"/>
      <c r="H72" s="364" t="n"/>
      <c r="I72" s="364" t="n"/>
      <c r="J72" s="364" t="n"/>
      <c r="K72" s="364" t="n"/>
      <c r="L72" s="364" t="n"/>
      <c r="M72" s="364" t="n"/>
      <c r="N72" s="364" t="n"/>
      <c r="O72" s="364" t="n"/>
      <c r="P72" s="364" t="n"/>
      <c r="Q72" s="364" t="n"/>
      <c r="R72" s="364" t="n"/>
      <c r="S72" s="364" t="n"/>
      <c r="T72" s="364" t="n"/>
      <c r="U72" s="364" t="n"/>
      <c r="V72" s="364" t="n"/>
      <c r="W72" s="364" t="n"/>
      <c r="X72" s="364" t="n"/>
      <c r="Y72" s="364" t="n"/>
      <c r="Z72" s="364" t="n"/>
    </row>
    <row r="73">
      <c r="A73" s="364" t="n"/>
      <c r="B73" s="364" t="n"/>
      <c r="C73" s="364" t="n"/>
      <c r="D73" s="364" t="n"/>
      <c r="E73" s="364" t="n"/>
      <c r="F73" s="364" t="n"/>
      <c r="G73" s="364" t="n"/>
      <c r="H73" s="364" t="n"/>
      <c r="I73" s="364" t="n"/>
      <c r="J73" s="364" t="n"/>
      <c r="K73" s="364" t="n"/>
      <c r="L73" s="364" t="n"/>
      <c r="M73" s="364" t="n"/>
      <c r="N73" s="364" t="n"/>
      <c r="O73" s="364" t="n"/>
      <c r="P73" s="364" t="n"/>
      <c r="Q73" s="364" t="n"/>
      <c r="R73" s="364" t="n"/>
      <c r="S73" s="364" t="n"/>
      <c r="T73" s="364" t="n"/>
      <c r="U73" s="364" t="n"/>
      <c r="V73" s="364" t="n"/>
      <c r="W73" s="364" t="n"/>
      <c r="X73" s="364" t="n"/>
      <c r="Y73" s="364" t="n"/>
      <c r="Z73" s="364" t="n"/>
    </row>
    <row r="74">
      <c r="A74" s="364" t="n"/>
      <c r="B74" s="364" t="n"/>
      <c r="C74" s="364" t="n"/>
      <c r="D74" s="364" t="n"/>
      <c r="E74" s="364" t="n"/>
      <c r="F74" s="364" t="n"/>
      <c r="G74" s="364" t="n"/>
      <c r="H74" s="364" t="n"/>
      <c r="I74" s="364" t="n"/>
      <c r="J74" s="364" t="n"/>
      <c r="K74" s="364" t="n"/>
      <c r="L74" s="364" t="n"/>
      <c r="M74" s="364" t="n"/>
      <c r="N74" s="364" t="n"/>
      <c r="O74" s="364" t="n"/>
      <c r="P74" s="364" t="n"/>
      <c r="Q74" s="364" t="n"/>
      <c r="R74" s="364" t="n"/>
      <c r="S74" s="364" t="n"/>
      <c r="T74" s="364" t="n"/>
      <c r="U74" s="364" t="n"/>
      <c r="V74" s="364" t="n"/>
      <c r="W74" s="364" t="n"/>
      <c r="X74" s="364" t="n"/>
      <c r="Y74" s="364" t="n"/>
      <c r="Z74" s="364" t="n"/>
    </row>
    <row r="75">
      <c r="A75" s="364" t="n"/>
      <c r="B75" s="364" t="n"/>
      <c r="C75" s="364" t="n"/>
      <c r="D75" s="364" t="n"/>
      <c r="E75" s="364" t="n"/>
      <c r="F75" s="364" t="n"/>
      <c r="G75" s="364" t="n"/>
      <c r="H75" s="364" t="n"/>
      <c r="I75" s="364" t="n"/>
      <c r="J75" s="364" t="n"/>
      <c r="K75" s="364" t="n"/>
      <c r="L75" s="364" t="n"/>
      <c r="M75" s="364" t="n"/>
      <c r="N75" s="364" t="n"/>
      <c r="O75" s="364" t="n"/>
      <c r="P75" s="364" t="n"/>
      <c r="Q75" s="364" t="n"/>
      <c r="R75" s="364" t="n"/>
      <c r="S75" s="364" t="n"/>
      <c r="T75" s="364" t="n"/>
      <c r="U75" s="364" t="n"/>
      <c r="V75" s="364" t="n"/>
      <c r="W75" s="364" t="n"/>
      <c r="X75" s="364" t="n"/>
      <c r="Y75" s="364" t="n"/>
      <c r="Z75" s="364" t="n"/>
    </row>
    <row r="76">
      <c r="A76" s="364" t="n"/>
      <c r="B76" s="364" t="n"/>
      <c r="C76" s="364" t="n"/>
      <c r="D76" s="364" t="n"/>
      <c r="E76" s="364" t="n"/>
      <c r="F76" s="364" t="n"/>
      <c r="G76" s="364" t="n"/>
      <c r="H76" s="364" t="n"/>
      <c r="I76" s="364" t="n"/>
      <c r="J76" s="364" t="n"/>
      <c r="K76" s="364" t="n"/>
      <c r="L76" s="364" t="n"/>
      <c r="M76" s="364" t="n"/>
      <c r="N76" s="364" t="n"/>
      <c r="O76" s="364" t="n"/>
      <c r="P76" s="364" t="n"/>
      <c r="Q76" s="364" t="n"/>
      <c r="R76" s="364" t="n"/>
      <c r="S76" s="364" t="n"/>
      <c r="T76" s="364" t="n"/>
      <c r="U76" s="364" t="n"/>
      <c r="V76" s="364" t="n"/>
      <c r="W76" s="364" t="n"/>
      <c r="X76" s="364" t="n"/>
      <c r="Y76" s="364" t="n"/>
      <c r="Z76" s="364" t="n"/>
    </row>
    <row r="77">
      <c r="A77" s="364" t="n"/>
      <c r="B77" s="364" t="n"/>
      <c r="C77" s="364" t="n"/>
      <c r="D77" s="364" t="n"/>
      <c r="E77" s="364" t="n"/>
      <c r="F77" s="364" t="n"/>
      <c r="G77" s="364" t="n"/>
      <c r="H77" s="364" t="n"/>
      <c r="I77" s="364" t="n"/>
      <c r="J77" s="364" t="n"/>
      <c r="K77" s="364" t="n"/>
      <c r="L77" s="364" t="n"/>
      <c r="M77" s="364" t="n"/>
      <c r="N77" s="364" t="n"/>
      <c r="O77" s="364" t="n"/>
      <c r="P77" s="364" t="n"/>
      <c r="Q77" s="364" t="n"/>
      <c r="R77" s="364" t="n"/>
      <c r="S77" s="364" t="n"/>
      <c r="T77" s="364" t="n"/>
      <c r="U77" s="364" t="n"/>
      <c r="V77" s="364" t="n"/>
      <c r="W77" s="364" t="n"/>
      <c r="X77" s="364" t="n"/>
      <c r="Y77" s="364" t="n"/>
      <c r="Z77" s="364" t="n"/>
    </row>
    <row r="78">
      <c r="A78" s="364" t="n"/>
      <c r="B78" s="364" t="n"/>
      <c r="C78" s="364" t="n"/>
      <c r="D78" s="364" t="n"/>
      <c r="E78" s="364" t="n"/>
      <c r="F78" s="364" t="n"/>
      <c r="G78" s="364" t="n"/>
      <c r="H78" s="364" t="n"/>
      <c r="I78" s="364" t="n"/>
      <c r="J78" s="364" t="n"/>
      <c r="K78" s="364" t="n"/>
      <c r="L78" s="364" t="n"/>
      <c r="M78" s="364" t="n"/>
      <c r="N78" s="364" t="n"/>
      <c r="O78" s="364" t="n"/>
      <c r="P78" s="364" t="n"/>
      <c r="Q78" s="364" t="n"/>
      <c r="R78" s="364" t="n"/>
      <c r="S78" s="364" t="n"/>
      <c r="T78" s="364" t="n"/>
      <c r="U78" s="364" t="n"/>
      <c r="V78" s="364" t="n"/>
      <c r="W78" s="364" t="n"/>
      <c r="X78" s="364" t="n"/>
      <c r="Y78" s="364" t="n"/>
      <c r="Z78" s="364" t="n"/>
    </row>
    <row r="79">
      <c r="A79" s="364" t="n"/>
      <c r="B79" s="364" t="n"/>
      <c r="C79" s="364" t="n"/>
      <c r="D79" s="364" t="n"/>
      <c r="E79" s="364" t="n"/>
      <c r="F79" s="364" t="n"/>
      <c r="G79" s="364" t="n"/>
      <c r="H79" s="364" t="n"/>
      <c r="I79" s="364" t="n"/>
      <c r="J79" s="364" t="n"/>
      <c r="K79" s="364" t="n"/>
      <c r="L79" s="364" t="n"/>
      <c r="M79" s="364" t="n"/>
      <c r="N79" s="364" t="n"/>
      <c r="O79" s="364" t="n"/>
      <c r="P79" s="364" t="n"/>
      <c r="Q79" s="364" t="n"/>
      <c r="R79" s="364" t="n"/>
      <c r="S79" s="364" t="n"/>
      <c r="T79" s="364" t="n"/>
      <c r="U79" s="364" t="n"/>
      <c r="V79" s="364" t="n"/>
      <c r="W79" s="364" t="n"/>
      <c r="X79" s="364" t="n"/>
      <c r="Y79" s="364" t="n"/>
      <c r="Z79" s="364" t="n"/>
    </row>
    <row r="80">
      <c r="A80" s="364" t="n"/>
      <c r="B80" s="364" t="n"/>
      <c r="C80" s="364" t="n"/>
      <c r="D80" s="364" t="n"/>
      <c r="E80" s="364" t="n"/>
      <c r="F80" s="364" t="n"/>
      <c r="G80" s="364" t="n"/>
      <c r="H80" s="364" t="n"/>
      <c r="I80" s="364" t="n"/>
      <c r="J80" s="364" t="n"/>
      <c r="K80" s="364" t="n"/>
      <c r="L80" s="364" t="n"/>
      <c r="M80" s="364" t="n"/>
      <c r="N80" s="364" t="n"/>
      <c r="O80" s="364" t="n"/>
      <c r="P80" s="364" t="n"/>
      <c r="Q80" s="364" t="n"/>
      <c r="R80" s="364" t="n"/>
      <c r="S80" s="364" t="n"/>
      <c r="T80" s="364" t="n"/>
      <c r="U80" s="364" t="n"/>
      <c r="V80" s="364" t="n"/>
      <c r="W80" s="364" t="n"/>
      <c r="X80" s="364" t="n"/>
      <c r="Y80" s="364" t="n"/>
      <c r="Z80" s="364" t="n"/>
    </row>
    <row r="81">
      <c r="A81" s="364" t="n"/>
      <c r="B81" s="364" t="n"/>
      <c r="C81" s="364" t="n"/>
      <c r="D81" s="364" t="n"/>
      <c r="E81" s="364" t="n"/>
      <c r="F81" s="364" t="n"/>
      <c r="G81" s="364" t="n"/>
      <c r="H81" s="364" t="n"/>
      <c r="I81" s="364" t="n"/>
      <c r="J81" s="364" t="n"/>
      <c r="K81" s="364" t="n"/>
      <c r="L81" s="364" t="n"/>
      <c r="M81" s="364" t="n"/>
      <c r="N81" s="364" t="n"/>
      <c r="O81" s="364" t="n"/>
      <c r="P81" s="364" t="n"/>
      <c r="Q81" s="364" t="n"/>
      <c r="R81" s="364" t="n"/>
      <c r="S81" s="364" t="n"/>
      <c r="T81" s="364" t="n"/>
      <c r="U81" s="364" t="n"/>
      <c r="V81" s="364" t="n"/>
      <c r="W81" s="364" t="n"/>
      <c r="X81" s="364" t="n"/>
      <c r="Y81" s="364" t="n"/>
      <c r="Z81" s="364" t="n"/>
    </row>
    <row r="82">
      <c r="A82" s="364" t="n"/>
      <c r="B82" s="364" t="n"/>
      <c r="C82" s="364" t="n"/>
      <c r="D82" s="364" t="n"/>
      <c r="E82" s="364" t="n"/>
      <c r="F82" s="364" t="n"/>
      <c r="G82" s="364" t="n"/>
      <c r="H82" s="364" t="n"/>
      <c r="I82" s="364" t="n"/>
      <c r="J82" s="364" t="n"/>
      <c r="K82" s="364" t="n"/>
      <c r="L82" s="364" t="n"/>
      <c r="M82" s="364" t="n"/>
      <c r="N82" s="364" t="n"/>
      <c r="O82" s="364" t="n"/>
      <c r="P82" s="364" t="n"/>
      <c r="Q82" s="364" t="n"/>
      <c r="R82" s="364" t="n"/>
      <c r="S82" s="364" t="n"/>
      <c r="T82" s="364" t="n"/>
      <c r="U82" s="364" t="n"/>
      <c r="V82" s="364" t="n"/>
      <c r="W82" s="364" t="n"/>
      <c r="X82" s="364" t="n"/>
      <c r="Y82" s="364" t="n"/>
      <c r="Z82" s="364" t="n"/>
    </row>
    <row r="83">
      <c r="A83" s="364" t="n"/>
      <c r="B83" s="364" t="n"/>
      <c r="C83" s="364" t="n"/>
      <c r="D83" s="364" t="n"/>
      <c r="E83" s="364" t="n"/>
      <c r="F83" s="364" t="n"/>
      <c r="G83" s="364" t="n"/>
      <c r="H83" s="364" t="n"/>
      <c r="I83" s="364" t="n"/>
      <c r="J83" s="364" t="n"/>
      <c r="K83" s="364" t="n"/>
      <c r="L83" s="364" t="n"/>
      <c r="M83" s="364" t="n"/>
      <c r="N83" s="364" t="n"/>
      <c r="O83" s="364" t="n"/>
      <c r="P83" s="364" t="n"/>
      <c r="Q83" s="364" t="n"/>
      <c r="R83" s="364" t="n"/>
      <c r="S83" s="364" t="n"/>
      <c r="T83" s="364" t="n"/>
      <c r="U83" s="364" t="n"/>
      <c r="V83" s="364" t="n"/>
      <c r="W83" s="364" t="n"/>
      <c r="X83" s="364" t="n"/>
      <c r="Y83" s="364" t="n"/>
      <c r="Z83" s="364" t="n"/>
    </row>
    <row r="84">
      <c r="A84" s="364" t="n"/>
      <c r="B84" s="364" t="n"/>
      <c r="C84" s="364" t="n"/>
      <c r="D84" s="364" t="n"/>
      <c r="E84" s="364" t="n"/>
      <c r="F84" s="364" t="n"/>
      <c r="G84" s="364" t="n"/>
      <c r="H84" s="364" t="n"/>
      <c r="I84" s="364" t="n"/>
      <c r="J84" s="364" t="n"/>
      <c r="K84" s="364" t="n"/>
      <c r="L84" s="364" t="n"/>
      <c r="M84" s="364" t="n"/>
      <c r="N84" s="364" t="n"/>
      <c r="O84" s="364" t="n"/>
      <c r="P84" s="364" t="n"/>
      <c r="Q84" s="364" t="n"/>
      <c r="R84" s="364" t="n"/>
      <c r="S84" s="364" t="n"/>
      <c r="T84" s="364" t="n"/>
      <c r="U84" s="364" t="n"/>
      <c r="V84" s="364" t="n"/>
      <c r="W84" s="364" t="n"/>
      <c r="X84" s="364" t="n"/>
      <c r="Y84" s="364" t="n"/>
      <c r="Z84" s="364" t="n"/>
    </row>
    <row r="85">
      <c r="A85" s="364" t="n"/>
      <c r="B85" s="364" t="n"/>
      <c r="C85" s="364" t="n"/>
      <c r="D85" s="364" t="n"/>
      <c r="E85" s="364" t="n"/>
      <c r="F85" s="364" t="n"/>
      <c r="G85" s="364" t="n"/>
      <c r="H85" s="364" t="n"/>
      <c r="I85" s="364" t="n"/>
      <c r="J85" s="364" t="n"/>
      <c r="K85" s="364" t="n"/>
      <c r="L85" s="364" t="n"/>
      <c r="M85" s="364" t="n"/>
      <c r="N85" s="364" t="n"/>
      <c r="O85" s="364" t="n"/>
      <c r="P85" s="364" t="n"/>
      <c r="Q85" s="364" t="n"/>
      <c r="R85" s="364" t="n"/>
      <c r="S85" s="364" t="n"/>
      <c r="T85" s="364" t="n"/>
      <c r="U85" s="364" t="n"/>
      <c r="V85" s="364" t="n"/>
      <c r="W85" s="364" t="n"/>
      <c r="X85" s="364" t="n"/>
      <c r="Y85" s="364" t="n"/>
      <c r="Z85" s="364" t="n"/>
    </row>
    <row r="86">
      <c r="A86" s="364" t="n"/>
      <c r="B86" s="364" t="n"/>
      <c r="C86" s="364" t="n"/>
      <c r="D86" s="364" t="n"/>
      <c r="E86" s="364" t="n"/>
      <c r="F86" s="364" t="n"/>
      <c r="G86" s="364" t="n"/>
      <c r="H86" s="364" t="n"/>
      <c r="I86" s="364" t="n"/>
      <c r="J86" s="364" t="n"/>
      <c r="K86" s="364" t="n"/>
      <c r="L86" s="364" t="n"/>
      <c r="M86" s="364" t="n"/>
      <c r="N86" s="364" t="n"/>
      <c r="O86" s="364" t="n"/>
      <c r="P86" s="364" t="n"/>
      <c r="Q86" s="364" t="n"/>
      <c r="R86" s="364" t="n"/>
      <c r="S86" s="364" t="n"/>
      <c r="T86" s="364" t="n"/>
      <c r="U86" s="364" t="n"/>
      <c r="V86" s="364" t="n"/>
      <c r="W86" s="364" t="n"/>
      <c r="X86" s="364" t="n"/>
      <c r="Y86" s="364" t="n"/>
      <c r="Z86" s="364" t="n"/>
    </row>
    <row r="87">
      <c r="A87" s="364" t="n"/>
      <c r="B87" s="364" t="n"/>
      <c r="C87" s="364" t="n"/>
      <c r="D87" s="364" t="n"/>
      <c r="E87" s="364" t="n"/>
      <c r="F87" s="364" t="n"/>
      <c r="G87" s="364" t="n"/>
      <c r="H87" s="364" t="n"/>
      <c r="I87" s="364" t="n"/>
      <c r="J87" s="364" t="n"/>
      <c r="K87" s="364" t="n"/>
      <c r="L87" s="364" t="n"/>
      <c r="M87" s="364" t="n"/>
      <c r="N87" s="364" t="n"/>
      <c r="O87" s="364" t="n"/>
      <c r="P87" s="364" t="n"/>
      <c r="Q87" s="364" t="n"/>
      <c r="R87" s="364" t="n"/>
      <c r="S87" s="364" t="n"/>
      <c r="T87" s="364" t="n"/>
      <c r="U87" s="364" t="n"/>
      <c r="V87" s="364" t="n"/>
      <c r="W87" s="364" t="n"/>
      <c r="X87" s="364" t="n"/>
      <c r="Y87" s="364" t="n"/>
      <c r="Z87" s="364" t="n"/>
    </row>
    <row r="88">
      <c r="A88" s="364" t="n"/>
      <c r="B88" s="364" t="n"/>
      <c r="C88" s="364" t="n"/>
      <c r="D88" s="364" t="n"/>
      <c r="E88" s="364" t="n"/>
      <c r="F88" s="364" t="n"/>
      <c r="G88" s="364" t="n"/>
      <c r="H88" s="364" t="n"/>
      <c r="I88" s="364" t="n"/>
      <c r="J88" s="364" t="n"/>
      <c r="K88" s="364" t="n"/>
      <c r="L88" s="364" t="n"/>
      <c r="M88" s="364" t="n"/>
      <c r="N88" s="364" t="n"/>
      <c r="O88" s="364" t="n"/>
      <c r="P88" s="364" t="n"/>
      <c r="Q88" s="364" t="n"/>
      <c r="R88" s="364" t="n"/>
      <c r="S88" s="364" t="n"/>
      <c r="T88" s="364" t="n"/>
      <c r="U88" s="364" t="n"/>
      <c r="V88" s="364" t="n"/>
      <c r="W88" s="364" t="n"/>
      <c r="X88" s="364" t="n"/>
      <c r="Y88" s="364" t="n"/>
      <c r="Z88" s="364" t="n"/>
    </row>
    <row r="89">
      <c r="A89" s="364" t="n"/>
      <c r="B89" s="364" t="n"/>
      <c r="C89" s="364" t="n"/>
      <c r="D89" s="364" t="n"/>
      <c r="E89" s="364" t="n"/>
      <c r="F89" s="364" t="n"/>
      <c r="G89" s="364" t="n"/>
      <c r="H89" s="364" t="n"/>
      <c r="I89" s="364" t="n"/>
      <c r="J89" s="364" t="n"/>
      <c r="K89" s="364" t="n"/>
      <c r="L89" s="364" t="n"/>
      <c r="M89" s="364" t="n"/>
      <c r="N89" s="364" t="n"/>
      <c r="O89" s="364" t="n"/>
      <c r="P89" s="364" t="n"/>
      <c r="Q89" s="364" t="n"/>
      <c r="R89" s="364" t="n"/>
      <c r="S89" s="364" t="n"/>
      <c r="T89" s="364" t="n"/>
      <c r="U89" s="364" t="n"/>
      <c r="V89" s="364" t="n"/>
      <c r="W89" s="364" t="n"/>
      <c r="X89" s="364" t="n"/>
      <c r="Y89" s="364" t="n"/>
      <c r="Z89" s="364" t="n"/>
    </row>
    <row r="90">
      <c r="A90" s="364" t="n"/>
      <c r="B90" s="364" t="n"/>
      <c r="C90" s="364" t="n"/>
      <c r="D90" s="364" t="n"/>
      <c r="E90" s="364" t="n"/>
      <c r="F90" s="364" t="n"/>
      <c r="G90" s="364" t="n"/>
      <c r="H90" s="364" t="n"/>
      <c r="I90" s="364" t="n"/>
      <c r="J90" s="364" t="n"/>
      <c r="K90" s="364" t="n"/>
      <c r="L90" s="364" t="n"/>
      <c r="M90" s="364" t="n"/>
      <c r="N90" s="364" t="n"/>
      <c r="O90" s="364" t="n"/>
      <c r="P90" s="364" t="n"/>
      <c r="Q90" s="364" t="n"/>
      <c r="R90" s="364" t="n"/>
      <c r="S90" s="364" t="n"/>
      <c r="T90" s="364" t="n"/>
      <c r="U90" s="364" t="n"/>
      <c r="V90" s="364" t="n"/>
      <c r="W90" s="364" t="n"/>
      <c r="X90" s="364" t="n"/>
      <c r="Y90" s="364" t="n"/>
      <c r="Z90" s="364" t="n"/>
    </row>
    <row r="91">
      <c r="A91" s="364" t="n"/>
      <c r="B91" s="364" t="n"/>
      <c r="C91" s="364" t="n"/>
      <c r="D91" s="364" t="n"/>
      <c r="E91" s="364" t="n"/>
      <c r="F91" s="364" t="n"/>
      <c r="G91" s="364" t="n"/>
      <c r="H91" s="364" t="n"/>
      <c r="I91" s="364" t="n"/>
      <c r="J91" s="364" t="n"/>
      <c r="K91" s="364" t="n"/>
      <c r="L91" s="364" t="n"/>
      <c r="M91" s="364" t="n"/>
      <c r="N91" s="364" t="n"/>
      <c r="O91" s="364" t="n"/>
      <c r="P91" s="364" t="n"/>
      <c r="Q91" s="364" t="n"/>
      <c r="R91" s="364" t="n"/>
      <c r="S91" s="364" t="n"/>
      <c r="T91" s="364" t="n"/>
      <c r="U91" s="364" t="n"/>
      <c r="V91" s="364" t="n"/>
      <c r="W91" s="364" t="n"/>
      <c r="X91" s="364" t="n"/>
      <c r="Y91" s="364" t="n"/>
      <c r="Z91" s="364" t="n"/>
    </row>
    <row r="92">
      <c r="A92" s="364" t="n"/>
      <c r="B92" s="364" t="n"/>
      <c r="C92" s="364" t="n"/>
      <c r="D92" s="364" t="n"/>
      <c r="E92" s="364" t="n"/>
      <c r="F92" s="364" t="n"/>
      <c r="G92" s="364" t="n"/>
      <c r="H92" s="364" t="n"/>
      <c r="I92" s="364" t="n"/>
      <c r="J92" s="364" t="n"/>
      <c r="K92" s="364" t="n"/>
      <c r="L92" s="364" t="n"/>
      <c r="M92" s="364" t="n"/>
      <c r="N92" s="364" t="n"/>
      <c r="O92" s="364" t="n"/>
      <c r="P92" s="364" t="n"/>
      <c r="Q92" s="364" t="n"/>
      <c r="R92" s="364" t="n"/>
      <c r="S92" s="364" t="n"/>
      <c r="T92" s="364" t="n"/>
      <c r="U92" s="364" t="n"/>
      <c r="V92" s="364" t="n"/>
      <c r="W92" s="364" t="n"/>
      <c r="X92" s="364" t="n"/>
      <c r="Y92" s="364" t="n"/>
      <c r="Z92" s="364" t="n"/>
    </row>
    <row r="93">
      <c r="A93" s="364" t="n"/>
      <c r="B93" s="364" t="n"/>
      <c r="C93" s="364" t="n"/>
      <c r="D93" s="364" t="n"/>
      <c r="E93" s="364" t="n"/>
      <c r="F93" s="364" t="n"/>
      <c r="G93" s="364" t="n"/>
      <c r="H93" s="364" t="n"/>
      <c r="I93" s="364" t="n"/>
      <c r="J93" s="364" t="n"/>
      <c r="K93" s="364" t="n"/>
      <c r="L93" s="364" t="n"/>
      <c r="M93" s="364" t="n"/>
      <c r="N93" s="364" t="n"/>
      <c r="O93" s="364" t="n"/>
      <c r="P93" s="364" t="n"/>
      <c r="Q93" s="364" t="n"/>
      <c r="R93" s="364" t="n"/>
      <c r="S93" s="364" t="n"/>
      <c r="T93" s="364" t="n"/>
      <c r="U93" s="364" t="n"/>
      <c r="V93" s="364" t="n"/>
      <c r="W93" s="364" t="n"/>
      <c r="X93" s="364" t="n"/>
      <c r="Y93" s="364" t="n"/>
      <c r="Z93" s="364" t="n"/>
    </row>
    <row r="94">
      <c r="A94" s="364" t="n"/>
      <c r="B94" s="364" t="n"/>
      <c r="C94" s="364" t="n"/>
      <c r="D94" s="364" t="n"/>
      <c r="E94" s="364" t="n"/>
      <c r="F94" s="364" t="n"/>
      <c r="G94" s="364" t="n"/>
      <c r="H94" s="364" t="n"/>
      <c r="I94" s="364" t="n"/>
      <c r="J94" s="364" t="n"/>
      <c r="K94" s="364" t="n"/>
      <c r="L94" s="364" t="n"/>
      <c r="M94" s="364" t="n"/>
      <c r="N94" s="364" t="n"/>
      <c r="O94" s="364" t="n"/>
      <c r="P94" s="364" t="n"/>
      <c r="Q94" s="364" t="n"/>
      <c r="R94" s="364" t="n"/>
      <c r="S94" s="364" t="n"/>
      <c r="T94" s="364" t="n"/>
      <c r="U94" s="364" t="n"/>
      <c r="V94" s="364" t="n"/>
      <c r="W94" s="364" t="n"/>
      <c r="X94" s="364" t="n"/>
      <c r="Y94" s="364" t="n"/>
      <c r="Z94" s="364" t="n"/>
    </row>
    <row r="95">
      <c r="A95" s="364" t="n"/>
      <c r="B95" s="364" t="n"/>
      <c r="C95" s="364" t="n"/>
      <c r="D95" s="364" t="n"/>
      <c r="E95" s="364" t="n"/>
      <c r="F95" s="364" t="n"/>
      <c r="G95" s="364" t="n"/>
      <c r="H95" s="364" t="n"/>
      <c r="I95" s="364" t="n"/>
      <c r="J95" s="364" t="n"/>
      <c r="K95" s="364" t="n"/>
      <c r="L95" s="364" t="n"/>
      <c r="M95" s="364" t="n"/>
      <c r="N95" s="364" t="n"/>
      <c r="O95" s="364" t="n"/>
      <c r="P95" s="364" t="n"/>
      <c r="Q95" s="364" t="n"/>
      <c r="R95" s="364" t="n"/>
      <c r="S95" s="364" t="n"/>
      <c r="T95" s="364" t="n"/>
      <c r="U95" s="364" t="n"/>
      <c r="V95" s="364" t="n"/>
      <c r="W95" s="364" t="n"/>
      <c r="X95" s="364" t="n"/>
      <c r="Y95" s="364" t="n"/>
      <c r="Z95" s="364" t="n"/>
    </row>
    <row r="96">
      <c r="A96" s="364" t="n"/>
      <c r="B96" s="364" t="n"/>
      <c r="C96" s="364" t="n"/>
      <c r="D96" s="364" t="n"/>
      <c r="E96" s="364" t="n"/>
      <c r="F96" s="364" t="n"/>
      <c r="G96" s="364" t="n"/>
      <c r="H96" s="364" t="n"/>
      <c r="I96" s="364" t="n"/>
      <c r="J96" s="364" t="n"/>
      <c r="K96" s="364" t="n"/>
      <c r="L96" s="364" t="n"/>
      <c r="M96" s="364" t="n"/>
      <c r="N96" s="364" t="n"/>
      <c r="O96" s="364" t="n"/>
      <c r="P96" s="364" t="n"/>
      <c r="Q96" s="364" t="n"/>
      <c r="R96" s="364" t="n"/>
      <c r="S96" s="364" t="n"/>
      <c r="T96" s="364" t="n"/>
      <c r="U96" s="364" t="n"/>
      <c r="V96" s="364" t="n"/>
      <c r="W96" s="364" t="n"/>
      <c r="X96" s="364" t="n"/>
      <c r="Y96" s="364" t="n"/>
      <c r="Z96" s="364" t="n"/>
    </row>
    <row r="97">
      <c r="A97" s="364" t="n"/>
      <c r="B97" s="364" t="n"/>
      <c r="C97" s="364" t="n"/>
      <c r="D97" s="364" t="n"/>
      <c r="E97" s="364" t="n"/>
      <c r="F97" s="364" t="n"/>
      <c r="G97" s="364" t="n"/>
      <c r="H97" s="364" t="n"/>
      <c r="I97" s="364" t="n"/>
      <c r="J97" s="364" t="n"/>
      <c r="K97" s="364" t="n"/>
      <c r="L97" s="364" t="n"/>
      <c r="M97" s="364" t="n"/>
      <c r="N97" s="364" t="n"/>
      <c r="O97" s="364" t="n"/>
      <c r="P97" s="364" t="n"/>
      <c r="Q97" s="364" t="n"/>
      <c r="R97" s="364" t="n"/>
      <c r="S97" s="364" t="n"/>
      <c r="T97" s="364" t="n"/>
      <c r="U97" s="364" t="n"/>
      <c r="V97" s="364" t="n"/>
      <c r="W97" s="364" t="n"/>
      <c r="X97" s="364" t="n"/>
      <c r="Y97" s="364" t="n"/>
      <c r="Z97" s="364" t="n"/>
    </row>
    <row r="98">
      <c r="A98" s="364" t="n"/>
      <c r="B98" s="364" t="n"/>
      <c r="C98" s="364" t="n"/>
      <c r="D98" s="364" t="n"/>
      <c r="E98" s="364" t="n"/>
      <c r="F98" s="364" t="n"/>
      <c r="G98" s="364" t="n"/>
      <c r="H98" s="364" t="n"/>
      <c r="I98" s="364" t="n"/>
      <c r="J98" s="364" t="n"/>
      <c r="K98" s="364" t="n"/>
      <c r="L98" s="364" t="n"/>
      <c r="M98" s="364" t="n"/>
      <c r="N98" s="364" t="n"/>
      <c r="O98" s="364" t="n"/>
      <c r="P98" s="364" t="n"/>
      <c r="Q98" s="364" t="n"/>
      <c r="R98" s="364" t="n"/>
      <c r="S98" s="364" t="n"/>
      <c r="T98" s="364" t="n"/>
      <c r="U98" s="364" t="n"/>
      <c r="V98" s="364" t="n"/>
      <c r="W98" s="364" t="n"/>
      <c r="X98" s="364" t="n"/>
      <c r="Y98" s="364" t="n"/>
      <c r="Z98" s="364" t="n"/>
    </row>
    <row r="99">
      <c r="A99" s="364" t="n"/>
      <c r="B99" s="364" t="n"/>
      <c r="C99" s="364" t="n"/>
      <c r="D99" s="364" t="n"/>
      <c r="E99" s="364" t="n"/>
      <c r="F99" s="364" t="n"/>
      <c r="G99" s="364" t="n"/>
      <c r="H99" s="364" t="n"/>
      <c r="I99" s="364" t="n"/>
      <c r="J99" s="364" t="n"/>
      <c r="K99" s="364" t="n"/>
      <c r="L99" s="364" t="n"/>
      <c r="M99" s="364" t="n"/>
      <c r="N99" s="364" t="n"/>
      <c r="O99" s="364" t="n"/>
      <c r="P99" s="364" t="n"/>
      <c r="Q99" s="364" t="n"/>
      <c r="R99" s="364" t="n"/>
      <c r="S99" s="364" t="n"/>
      <c r="T99" s="364" t="n"/>
      <c r="U99" s="364" t="n"/>
      <c r="V99" s="364" t="n"/>
      <c r="W99" s="364" t="n"/>
      <c r="X99" s="364" t="n"/>
      <c r="Y99" s="364" t="n"/>
      <c r="Z99" s="364" t="n"/>
    </row>
    <row r="100">
      <c r="A100" s="364" t="n"/>
      <c r="B100" s="364" t="n"/>
      <c r="C100" s="364" t="n"/>
      <c r="D100" s="364" t="n"/>
      <c r="E100" s="364" t="n"/>
      <c r="F100" s="364" t="n"/>
      <c r="G100" s="364" t="n"/>
      <c r="H100" s="364" t="n"/>
      <c r="I100" s="364" t="n"/>
      <c r="J100" s="364" t="n"/>
      <c r="K100" s="364" t="n"/>
      <c r="L100" s="364" t="n"/>
      <c r="M100" s="364" t="n"/>
      <c r="N100" s="364" t="n"/>
      <c r="O100" s="364" t="n"/>
      <c r="P100" s="364" t="n"/>
      <c r="Q100" s="364" t="n"/>
      <c r="R100" s="364" t="n"/>
      <c r="S100" s="364" t="n"/>
      <c r="T100" s="364" t="n"/>
      <c r="U100" s="364" t="n"/>
      <c r="V100" s="364" t="n"/>
      <c r="W100" s="364" t="n"/>
      <c r="X100" s="364" t="n"/>
      <c r="Y100" s="364" t="n"/>
      <c r="Z100" s="364" t="n"/>
    </row>
  </sheetData>
  <mergeCells count="3">
    <mergeCell ref="A1:I1"/>
    <mergeCell ref="A15:D15"/>
    <mergeCell ref="A2:I2"/>
  </mergeCells>
  <pageMargins left="0.7" right="0.7" top="0.75" bottom="0.75" header="0.3" footer="0.3"/>
  <pageSetup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"/>
  <sheetViews>
    <sheetView showGridLines="0" workbookViewId="0">
      <selection activeCell="A1" sqref="A1"/>
    </sheetView>
  </sheetViews>
  <sheetFormatPr baseColWidth="8" defaultRowHeight="15"/>
  <cols>
    <col width="24" customWidth="1" style="34" min="1" max="1"/>
    <col width="60" customWidth="1" style="34" min="2" max="2"/>
    <col width="16" customWidth="1" style="34" min="3" max="3"/>
    <col width="24" customWidth="1" style="34" min="4" max="4"/>
    <col width="34" customWidth="1" style="34" min="5" max="5"/>
  </cols>
  <sheetData>
    <row r="1" ht="19.20000076293945" customHeight="1" s="34">
      <c r="A1" s="570" t="inlineStr">
        <is>
          <t>TurboPitch Financial Model - Assumptions</t>
        </is>
      </c>
      <c r="B1" s="1" t="n"/>
      <c r="C1" s="1" t="n"/>
      <c r="D1" s="1" t="n"/>
      <c r="E1" s="1" t="n"/>
      <c r="F1" s="566" t="n"/>
      <c r="G1" s="566" t="n"/>
      <c r="H1" s="566" t="n"/>
      <c r="I1" s="566" t="n"/>
      <c r="J1" s="566" t="n"/>
      <c r="K1" s="566" t="n"/>
      <c r="L1" s="566" t="n"/>
      <c r="M1" s="566" t="n"/>
      <c r="N1" s="566" t="n"/>
      <c r="O1" s="566" t="n"/>
      <c r="P1" s="566" t="n"/>
      <c r="Q1" s="566" t="n"/>
      <c r="R1" s="566" t="n"/>
      <c r="S1" s="566" t="n"/>
      <c r="T1" s="566" t="n"/>
      <c r="U1" s="566" t="n"/>
      <c r="V1" s="566" t="n"/>
      <c r="W1" s="566" t="n"/>
      <c r="X1" s="566" t="n"/>
      <c r="Y1" s="566" t="n"/>
      <c r="Z1" s="566" t="n"/>
    </row>
    <row r="2" ht="15" customHeight="1" s="34">
      <c r="A2" s="439" t="inlineStr">
        <is>
          <t>Blue font = hardcoded user input. Yellow fill = key input / investor-sensitive assumption.</t>
        </is>
      </c>
      <c r="B2" s="1" t="n"/>
      <c r="C2" s="1" t="n"/>
      <c r="D2" s="1" t="n"/>
      <c r="E2" s="1" t="n"/>
      <c r="F2" s="364" t="n"/>
      <c r="G2" s="364" t="n"/>
      <c r="H2" s="364" t="n"/>
      <c r="I2" s="364" t="n"/>
      <c r="J2" s="364" t="n"/>
      <c r="K2" s="364" t="n"/>
      <c r="L2" s="364" t="n"/>
      <c r="M2" s="364" t="n"/>
      <c r="N2" s="364" t="n"/>
      <c r="O2" s="364" t="n"/>
      <c r="P2" s="364" t="n"/>
      <c r="Q2" s="364" t="n"/>
      <c r="R2" s="364" t="n"/>
      <c r="S2" s="364" t="n"/>
      <c r="T2" s="364" t="n"/>
      <c r="U2" s="364" t="n"/>
      <c r="V2" s="364" t="n"/>
      <c r="W2" s="364" t="n"/>
      <c r="X2" s="364" t="n"/>
      <c r="Y2" s="364" t="n"/>
      <c r="Z2" s="364" t="n"/>
    </row>
    <row r="3" ht="15" customHeight="1" s="34">
      <c r="A3" s="421" t="n"/>
      <c r="B3" s="421" t="n"/>
      <c r="C3" s="421" t="n"/>
      <c r="D3" s="421" t="n"/>
      <c r="E3" s="421" t="n"/>
      <c r="F3" s="364" t="n"/>
      <c r="G3" s="364" t="n"/>
      <c r="H3" s="364" t="n"/>
      <c r="I3" s="364" t="n"/>
      <c r="J3" s="364" t="n"/>
      <c r="K3" s="364" t="n"/>
      <c r="L3" s="364" t="n"/>
      <c r="M3" s="364" t="n"/>
      <c r="N3" s="364" t="n"/>
      <c r="O3" s="364" t="n"/>
      <c r="P3" s="364" t="n"/>
      <c r="Q3" s="364" t="n"/>
      <c r="R3" s="364" t="n"/>
      <c r="S3" s="364" t="n"/>
      <c r="T3" s="364" t="n"/>
      <c r="U3" s="364" t="n"/>
      <c r="V3" s="364" t="n"/>
      <c r="W3" s="364" t="n"/>
      <c r="X3" s="364" t="n"/>
      <c r="Y3" s="364" t="n"/>
      <c r="Z3" s="364" t="n"/>
    </row>
    <row r="4" ht="15" customHeight="1" s="34">
      <c r="A4" s="422" t="inlineStr">
        <is>
          <t>Input</t>
        </is>
      </c>
      <c r="B4" s="423" t="inlineStr">
        <is>
          <t>Value</t>
        </is>
      </c>
      <c r="C4" s="423" t="inlineStr">
        <is>
          <t>Units</t>
        </is>
      </c>
      <c r="D4" s="423" t="inlineStr">
        <is>
          <t>Source / Logic</t>
        </is>
      </c>
      <c r="E4" s="424" t="inlineStr">
        <is>
          <t>Notes</t>
        </is>
      </c>
      <c r="F4" s="364" t="n"/>
      <c r="G4" s="364" t="n"/>
      <c r="H4" s="364" t="n"/>
      <c r="I4" s="364" t="n"/>
      <c r="J4" s="364" t="n"/>
      <c r="K4" s="364" t="n"/>
      <c r="L4" s="364" t="n"/>
      <c r="M4" s="364" t="n"/>
      <c r="N4" s="364" t="n"/>
      <c r="O4" s="364" t="n"/>
      <c r="P4" s="364" t="n"/>
      <c r="Q4" s="364" t="n"/>
      <c r="R4" s="364" t="n"/>
      <c r="S4" s="364" t="n"/>
      <c r="T4" s="364" t="n"/>
      <c r="U4" s="364" t="n"/>
      <c r="V4" s="364" t="n"/>
      <c r="W4" s="364" t="n"/>
      <c r="X4" s="364" t="n"/>
      <c r="Y4" s="364" t="n"/>
      <c r="Z4" s="364" t="n"/>
    </row>
    <row r="5" ht="85" customHeight="1" s="34">
      <c r="A5" s="643" t="inlineStr">
        <is>
          <t>Startup Idea</t>
        </is>
      </c>
      <c r="B5" s="426" t="inlineStr">
        <is>
          <t>Create a pitch deck and financial model for AutoFlow AI, an AI-powered software platform for independent car washes that predicts demand, optimizes staffing, tracks chemical and water usage, and automatically recommends pricing or promotions based on weather, traffic, and local events.</t>
        </is>
      </c>
      <c r="C5" s="427" t="inlineStr">
        <is>
          <t>Text</t>
        </is>
      </c>
      <c r="D5" s="427" t="inlineStr">
        <is>
          <t>Founder input</t>
        </is>
      </c>
      <c r="E5" s="428" t="inlineStr">
        <is>
          <t>Keep concise for investor export.</t>
        </is>
      </c>
      <c r="F5" s="364" t="n"/>
      <c r="G5" s="364" t="n"/>
      <c r="H5" s="364" t="n"/>
      <c r="I5" s="364" t="n"/>
      <c r="J5" s="364" t="n"/>
      <c r="K5" s="364" t="n"/>
      <c r="L5" s="364" t="n"/>
      <c r="M5" s="364" t="n"/>
      <c r="N5" s="364" t="n"/>
      <c r="O5" s="364" t="n"/>
      <c r="P5" s="364" t="n"/>
      <c r="Q5" s="364" t="n"/>
      <c r="R5" s="364" t="n"/>
      <c r="S5" s="364" t="n"/>
      <c r="T5" s="364" t="n"/>
      <c r="U5" s="364" t="n"/>
      <c r="V5" s="364" t="n"/>
      <c r="W5" s="364" t="n"/>
      <c r="X5" s="364" t="n"/>
      <c r="Y5" s="364" t="n"/>
      <c r="Z5" s="364" t="n"/>
    </row>
    <row r="6" ht="15" customHeight="1" s="34">
      <c r="A6" s="643" t="inlineStr">
        <is>
          <t>Industry</t>
        </is>
      </c>
      <c r="B6" s="426" t="inlineStr">
        <is>
          <t>Vertical SaaS / AI Software</t>
        </is>
      </c>
      <c r="C6" s="427" t="inlineStr">
        <is>
          <t>Category</t>
        </is>
      </c>
      <c r="D6" s="427" t="inlineStr">
        <is>
          <t>Founder / TurboPitch detection</t>
        </is>
      </c>
      <c r="E6" s="428" t="str"/>
      <c r="F6" s="364" t="n"/>
      <c r="G6" s="364" t="n"/>
      <c r="H6" s="364" t="n"/>
      <c r="I6" s="364" t="n"/>
      <c r="J6" s="364" t="n"/>
      <c r="K6" s="364" t="n"/>
      <c r="L6" s="364" t="n"/>
      <c r="M6" s="364" t="n"/>
      <c r="N6" s="364" t="n"/>
      <c r="O6" s="364" t="n"/>
      <c r="P6" s="364" t="n"/>
      <c r="Q6" s="364" t="n"/>
      <c r="R6" s="364" t="n"/>
      <c r="S6" s="364" t="n"/>
      <c r="T6" s="364" t="n"/>
      <c r="U6" s="364" t="n"/>
      <c r="V6" s="364" t="n"/>
      <c r="W6" s="364" t="n"/>
      <c r="X6" s="364" t="n"/>
      <c r="Y6" s="364" t="n"/>
      <c r="Z6" s="364" t="n"/>
    </row>
    <row r="7" ht="15" customHeight="1" s="34">
      <c r="A7" s="643" t="inlineStr">
        <is>
          <t>Customer Segment</t>
        </is>
      </c>
      <c r="B7" s="426" t="inlineStr">
        <is>
          <t>B2B / SMB Operators</t>
        </is>
      </c>
      <c r="C7" s="427" t="inlineStr">
        <is>
          <t>Category</t>
        </is>
      </c>
      <c r="D7" s="427" t="inlineStr">
        <is>
          <t>TurboPitch detection</t>
        </is>
      </c>
      <c r="E7" s="428" t="str"/>
      <c r="F7" s="364" t="n"/>
      <c r="G7" s="364" t="n"/>
      <c r="H7" s="364" t="n"/>
      <c r="I7" s="364" t="n"/>
      <c r="J7" s="364" t="n"/>
      <c r="K7" s="364" t="n"/>
      <c r="L7" s="364" t="n"/>
      <c r="M7" s="364" t="n"/>
      <c r="N7" s="364" t="n"/>
      <c r="O7" s="364" t="n"/>
      <c r="P7" s="364" t="n"/>
      <c r="Q7" s="364" t="n"/>
      <c r="R7" s="364" t="n"/>
      <c r="S7" s="364" t="n"/>
      <c r="T7" s="364" t="n"/>
      <c r="U7" s="364" t="n"/>
      <c r="V7" s="364" t="n"/>
      <c r="W7" s="364" t="n"/>
      <c r="X7" s="364" t="n"/>
      <c r="Y7" s="364" t="n"/>
      <c r="Z7" s="364" t="n"/>
    </row>
    <row r="8" ht="24" customHeight="1" s="34">
      <c r="A8" s="643" t="inlineStr">
        <is>
          <t>Assumption Mode</t>
        </is>
      </c>
      <c r="B8" s="426" t="inlineStr">
        <is>
          <t>Manual</t>
        </is>
      </c>
      <c r="C8" s="427" t="inlineStr">
        <is>
          <t>Scenario</t>
        </is>
      </c>
      <c r="D8" s="427" t="inlineStr">
        <is>
          <t>User selected</t>
        </is>
      </c>
      <c r="E8" s="428" t="inlineStr">
        <is>
          <t>Can be expanded to Base / Conservative / Investor haircut.</t>
        </is>
      </c>
      <c r="F8" s="364" t="n"/>
      <c r="G8" s="364" t="n"/>
      <c r="H8" s="364" t="n"/>
      <c r="I8" s="364" t="n"/>
      <c r="J8" s="364" t="n"/>
      <c r="K8" s="364" t="n"/>
      <c r="L8" s="364" t="n"/>
      <c r="M8" s="364" t="n"/>
      <c r="N8" s="364" t="n"/>
      <c r="O8" s="364" t="n"/>
      <c r="P8" s="364" t="n"/>
      <c r="Q8" s="364" t="n"/>
      <c r="R8" s="364" t="n"/>
      <c r="S8" s="364" t="n"/>
      <c r="T8" s="364" t="n"/>
      <c r="U8" s="364" t="n"/>
      <c r="V8" s="364" t="n"/>
      <c r="W8" s="364" t="n"/>
      <c r="X8" s="364" t="n"/>
      <c r="Y8" s="364" t="n"/>
      <c r="Z8" s="364" t="n"/>
    </row>
    <row r="9" ht="24" customHeight="1" s="34">
      <c r="A9" s="643" t="inlineStr">
        <is>
          <t>Price per Unit</t>
        </is>
      </c>
      <c r="B9" s="659" t="n">
        <v>5</v>
      </c>
      <c r="C9" s="427" t="inlineStr">
        <is>
          <t>$ / unit</t>
        </is>
      </c>
      <c r="D9" s="427" t="inlineStr">
        <is>
          <t>Founder input</t>
        </is>
      </c>
      <c r="E9" s="428" t="inlineStr">
        <is>
          <t>Define unit clearly: customer, order, seat, transaction.</t>
        </is>
      </c>
      <c r="F9" s="364" t="n"/>
      <c r="G9" s="364" t="n"/>
      <c r="H9" s="364" t="n"/>
      <c r="I9" s="364" t="n"/>
      <c r="J9" s="364" t="n"/>
      <c r="K9" s="364" t="n"/>
      <c r="L9" s="364" t="n"/>
      <c r="M9" s="364" t="n"/>
      <c r="N9" s="364" t="n"/>
      <c r="O9" s="364" t="n"/>
      <c r="P9" s="364" t="n"/>
      <c r="Q9" s="364" t="n"/>
      <c r="R9" s="364" t="n"/>
      <c r="S9" s="364" t="n"/>
      <c r="T9" s="364" t="n"/>
      <c r="U9" s="364" t="n"/>
      <c r="V9" s="364" t="n"/>
      <c r="W9" s="364" t="n"/>
      <c r="X9" s="364" t="n"/>
      <c r="Y9" s="364" t="n"/>
      <c r="Z9" s="364" t="n"/>
    </row>
    <row r="10" ht="24" customHeight="1" s="34">
      <c r="A10" s="643" t="inlineStr">
        <is>
          <t>Year 1 Units Sold</t>
        </is>
      </c>
      <c r="B10" s="660" t="n">
        <v>80000</v>
      </c>
      <c r="C10" s="427" t="inlineStr">
        <is>
          <t>units</t>
        </is>
      </c>
      <c r="D10" s="427" t="inlineStr">
        <is>
          <t>Founder input</t>
        </is>
      </c>
      <c r="E10" s="428" t="inlineStr">
        <is>
          <t>Primary investor challenge based on benchmark review.</t>
        </is>
      </c>
      <c r="F10" s="364" t="n"/>
      <c r="G10" s="364" t="n"/>
      <c r="H10" s="364" t="n"/>
      <c r="I10" s="364" t="n"/>
      <c r="J10" s="364" t="n"/>
      <c r="K10" s="364" t="n"/>
      <c r="L10" s="364" t="n"/>
      <c r="M10" s="364" t="n"/>
      <c r="N10" s="364" t="n"/>
      <c r="O10" s="364" t="n"/>
      <c r="P10" s="364" t="n"/>
      <c r="Q10" s="364" t="n"/>
      <c r="R10" s="364" t="n"/>
      <c r="S10" s="364" t="n"/>
      <c r="T10" s="364" t="n"/>
      <c r="U10" s="364" t="n"/>
      <c r="V10" s="364" t="n"/>
      <c r="W10" s="364" t="n"/>
      <c r="X10" s="364" t="n"/>
      <c r="Y10" s="364" t="n"/>
      <c r="Z10" s="364" t="n"/>
    </row>
    <row r="11" ht="15" customHeight="1" s="34">
      <c r="A11" s="643" t="inlineStr">
        <is>
          <t>Year 2 Growth Rate</t>
        </is>
      </c>
      <c r="B11" s="661" t="n">
        <v>0.6</v>
      </c>
      <c r="C11" s="427" t="inlineStr">
        <is>
          <t>%</t>
        </is>
      </c>
      <c r="D11" s="427" t="inlineStr">
        <is>
          <t>Founder input</t>
        </is>
      </c>
      <c r="E11" s="428" t="str"/>
      <c r="F11" s="364" t="n"/>
      <c r="G11" s="364" t="n"/>
      <c r="H11" s="364" t="n"/>
      <c r="I11" s="364" t="n"/>
      <c r="J11" s="364" t="n"/>
      <c r="K11" s="364" t="n"/>
      <c r="L11" s="364" t="n"/>
      <c r="M11" s="364" t="n"/>
      <c r="N11" s="364" t="n"/>
      <c r="O11" s="364" t="n"/>
      <c r="P11" s="364" t="n"/>
      <c r="Q11" s="364" t="n"/>
      <c r="R11" s="364" t="n"/>
      <c r="S11" s="364" t="n"/>
      <c r="T11" s="364" t="n"/>
      <c r="U11" s="364" t="n"/>
      <c r="V11" s="364" t="n"/>
      <c r="W11" s="364" t="n"/>
      <c r="X11" s="364" t="n"/>
      <c r="Y11" s="364" t="n"/>
      <c r="Z11" s="364" t="n"/>
    </row>
    <row r="12" ht="15" customHeight="1" s="34">
      <c r="A12" s="643" t="inlineStr">
        <is>
          <t>Year 3 Growth Rate</t>
        </is>
      </c>
      <c r="B12" s="661" t="n">
        <v>0.4</v>
      </c>
      <c r="C12" s="427" t="inlineStr">
        <is>
          <t>%</t>
        </is>
      </c>
      <c r="D12" s="427" t="inlineStr">
        <is>
          <t>Founder input</t>
        </is>
      </c>
      <c r="E12" s="428" t="str"/>
      <c r="F12" s="364" t="n"/>
      <c r="G12" s="364" t="n"/>
      <c r="H12" s="364" t="n"/>
      <c r="I12" s="364" t="n"/>
      <c r="J12" s="364" t="n"/>
      <c r="K12" s="364" t="n"/>
      <c r="L12" s="364" t="n"/>
      <c r="M12" s="364" t="n"/>
      <c r="N12" s="364" t="n"/>
      <c r="O12" s="364" t="n"/>
      <c r="P12" s="364" t="n"/>
      <c r="Q12" s="364" t="n"/>
      <c r="R12" s="364" t="n"/>
      <c r="S12" s="364" t="n"/>
      <c r="T12" s="364" t="n"/>
      <c r="U12" s="364" t="n"/>
      <c r="V12" s="364" t="n"/>
      <c r="W12" s="364" t="n"/>
      <c r="X12" s="364" t="n"/>
      <c r="Y12" s="364" t="n"/>
      <c r="Z12" s="364" t="n"/>
    </row>
    <row r="13" ht="24" customHeight="1" s="34">
      <c r="A13" s="643" t="inlineStr">
        <is>
          <t>Cost per Unit</t>
        </is>
      </c>
      <c r="B13" s="662" t="n">
        <v>1.2</v>
      </c>
      <c r="C13" s="427" t="inlineStr">
        <is>
          <t>$ / unit</t>
        </is>
      </c>
      <c r="D13" s="427" t="inlineStr">
        <is>
          <t>Founder input</t>
        </is>
      </c>
      <c r="E13" s="428" t="inlineStr">
        <is>
          <t>Likely understated if hosting, support, delivery ops, and payment fees are missing.</t>
        </is>
      </c>
      <c r="F13" s="364" t="n"/>
      <c r="G13" s="364" t="n"/>
      <c r="H13" s="364" t="n"/>
      <c r="I13" s="364" t="n"/>
      <c r="J13" s="364" t="n"/>
      <c r="K13" s="364" t="n"/>
      <c r="L13" s="364" t="n"/>
      <c r="M13" s="364" t="n"/>
      <c r="N13" s="364" t="n"/>
      <c r="O13" s="364" t="n"/>
      <c r="P13" s="364" t="n"/>
      <c r="Q13" s="364" t="n"/>
      <c r="R13" s="364" t="n"/>
      <c r="S13" s="364" t="n"/>
      <c r="T13" s="364" t="n"/>
      <c r="U13" s="364" t="n"/>
      <c r="V13" s="364" t="n"/>
      <c r="W13" s="364" t="n"/>
      <c r="X13" s="364" t="n"/>
      <c r="Y13" s="364" t="n"/>
      <c r="Z13" s="364" t="n"/>
    </row>
    <row r="14" ht="15" customHeight="1" s="34">
      <c r="A14" s="643" t="inlineStr">
        <is>
          <t>Operating Expense %</t>
        </is>
      </c>
      <c r="B14" s="661" t="n">
        <v>0.25</v>
      </c>
      <c r="C14" s="427" t="inlineStr">
        <is>
          <t>% of revenue</t>
        </is>
      </c>
      <c r="D14" s="427" t="inlineStr">
        <is>
          <t>Founder input</t>
        </is>
      </c>
      <c r="E14" s="428" t="inlineStr">
        <is>
          <t>May be low for go-to-market-heavy startup.</t>
        </is>
      </c>
      <c r="F14" s="364" t="n"/>
      <c r="G14" s="364" t="n"/>
      <c r="H14" s="364" t="n"/>
      <c r="I14" s="364" t="n"/>
      <c r="J14" s="364" t="n"/>
      <c r="K14" s="364" t="n"/>
      <c r="L14" s="364" t="n"/>
      <c r="M14" s="364" t="n"/>
      <c r="N14" s="364" t="n"/>
      <c r="O14" s="364" t="n"/>
      <c r="P14" s="364" t="n"/>
      <c r="Q14" s="364" t="n"/>
      <c r="R14" s="364" t="n"/>
      <c r="S14" s="364" t="n"/>
      <c r="T14" s="364" t="n"/>
      <c r="U14" s="364" t="n"/>
      <c r="V14" s="364" t="n"/>
      <c r="W14" s="364" t="n"/>
      <c r="X14" s="364" t="n"/>
      <c r="Y14" s="364" t="n"/>
      <c r="Z14" s="364" t="n"/>
    </row>
    <row r="15" ht="15" customHeight="1" s="34">
      <c r="A15" s="643" t="inlineStr">
        <is>
          <t>Fixed Annual Overhead</t>
        </is>
      </c>
      <c r="B15" s="659" t="n">
        <v>300000</v>
      </c>
      <c r="C15" s="427" t="inlineStr">
        <is>
          <t>$ / year</t>
        </is>
      </c>
      <c r="D15" s="427" t="inlineStr">
        <is>
          <t>Founder input</t>
        </is>
      </c>
      <c r="E15" s="428" t="str"/>
      <c r="F15" s="364" t="n"/>
      <c r="G15" s="364" t="n"/>
      <c r="H15" s="364" t="n"/>
      <c r="I15" s="364" t="n"/>
      <c r="J15" s="364" t="n"/>
      <c r="K15" s="364" t="n"/>
      <c r="L15" s="364" t="n"/>
      <c r="M15" s="364" t="n"/>
      <c r="N15" s="364" t="n"/>
      <c r="O15" s="364" t="n"/>
      <c r="P15" s="364" t="n"/>
      <c r="Q15" s="364" t="n"/>
      <c r="R15" s="364" t="n"/>
      <c r="S15" s="364" t="n"/>
      <c r="T15" s="364" t="n"/>
      <c r="U15" s="364" t="n"/>
      <c r="V15" s="364" t="n"/>
      <c r="W15" s="364" t="n"/>
      <c r="X15" s="364" t="n"/>
      <c r="Y15" s="364" t="n"/>
      <c r="Z15" s="364" t="n"/>
    </row>
    <row r="16" ht="15" customHeight="1" s="34">
      <c r="A16" s="643" t="inlineStr">
        <is>
          <t>Starting Cash</t>
        </is>
      </c>
      <c r="B16" s="659" t="n">
        <v>600000</v>
      </c>
      <c r="C16" s="427" t="inlineStr">
        <is>
          <t>$</t>
        </is>
      </c>
      <c r="D16" s="427" t="inlineStr">
        <is>
          <t>Founder input</t>
        </is>
      </c>
      <c r="E16" s="428" t="str"/>
      <c r="F16" s="364" t="n"/>
      <c r="G16" s="364" t="n"/>
      <c r="H16" s="364" t="n"/>
      <c r="I16" s="364" t="n"/>
      <c r="J16" s="364" t="n"/>
      <c r="K16" s="364" t="n"/>
      <c r="L16" s="364" t="n"/>
      <c r="M16" s="364" t="n"/>
      <c r="N16" s="364" t="n"/>
      <c r="O16" s="364" t="n"/>
      <c r="P16" s="364" t="n"/>
      <c r="Q16" s="364" t="n"/>
      <c r="R16" s="364" t="n"/>
      <c r="S16" s="364" t="n"/>
      <c r="T16" s="364" t="n"/>
      <c r="U16" s="364" t="n"/>
      <c r="V16" s="364" t="n"/>
      <c r="W16" s="364" t="n"/>
      <c r="X16" s="364" t="n"/>
      <c r="Y16" s="364" t="n"/>
      <c r="Z16" s="364" t="n"/>
    </row>
    <row r="17" ht="15" customHeight="1" s="34">
      <c r="A17" s="643" t="inlineStr">
        <is>
          <t>Tax Rate</t>
        </is>
      </c>
      <c r="B17" s="661" t="n">
        <v>0.21</v>
      </c>
      <c r="C17" s="427" t="inlineStr">
        <is>
          <t>%</t>
        </is>
      </c>
      <c r="D17" s="427" t="inlineStr">
        <is>
          <t>Default model assumption</t>
        </is>
      </c>
      <c r="E17" s="428" t="inlineStr">
        <is>
          <t>Placeholder. Replace with actual tax treatment.</t>
        </is>
      </c>
      <c r="F17" s="364" t="n"/>
      <c r="G17" s="364" t="n"/>
      <c r="H17" s="364" t="n"/>
      <c r="I17" s="364" t="n"/>
      <c r="J17" s="364" t="n"/>
      <c r="K17" s="364" t="n"/>
      <c r="L17" s="364" t="n"/>
      <c r="M17" s="364" t="n"/>
      <c r="N17" s="364" t="n"/>
      <c r="O17" s="364" t="n"/>
      <c r="P17" s="364" t="n"/>
      <c r="Q17" s="364" t="n"/>
      <c r="R17" s="364" t="n"/>
      <c r="S17" s="364" t="n"/>
      <c r="T17" s="364" t="n"/>
      <c r="U17" s="364" t="n"/>
      <c r="V17" s="364" t="n"/>
      <c r="W17" s="364" t="n"/>
      <c r="X17" s="364" t="n"/>
      <c r="Y17" s="364" t="n"/>
      <c r="Z17" s="364" t="n"/>
    </row>
    <row r="18" ht="15" customHeight="1" s="34">
      <c r="A18" s="643" t="inlineStr">
        <is>
          <t>Investor Pushback %</t>
        </is>
      </c>
      <c r="B18" s="661" t="n">
        <v>0.25</v>
      </c>
      <c r="C18" s="427" t="inlineStr">
        <is>
          <t>% haircut</t>
        </is>
      </c>
      <c r="D18" s="427" t="inlineStr">
        <is>
          <t>Investor feedback</t>
        </is>
      </c>
      <c r="E18" s="428" t="inlineStr">
        <is>
          <t>Used for conservative pressure-test case.</t>
        </is>
      </c>
      <c r="F18" s="364" t="n"/>
      <c r="G18" s="364" t="n"/>
      <c r="H18" s="364" t="n"/>
      <c r="I18" s="364" t="n"/>
      <c r="J18" s="364" t="n"/>
      <c r="K18" s="364" t="n"/>
      <c r="L18" s="364" t="n"/>
      <c r="M18" s="364" t="n"/>
      <c r="N18" s="364" t="n"/>
      <c r="O18" s="364" t="n"/>
      <c r="P18" s="364" t="n"/>
      <c r="Q18" s="364" t="n"/>
      <c r="R18" s="364" t="n"/>
      <c r="S18" s="364" t="n"/>
      <c r="T18" s="364" t="n"/>
      <c r="U18" s="364" t="n"/>
      <c r="V18" s="364" t="n"/>
      <c r="W18" s="364" t="n"/>
      <c r="X18" s="364" t="n"/>
      <c r="Y18" s="364" t="n"/>
      <c r="Z18" s="364" t="n"/>
    </row>
    <row r="19" ht="90" customHeight="1" s="34">
      <c r="A19" s="643" t="inlineStr">
        <is>
          <t>Investor Feedback</t>
        </is>
      </c>
      <c r="B19" s="426" t="inlineStr">
        <is>
          <t>Investor says revenue assumptions are too aggressive and early customer acquisition may be unrealistic.</t>
        </is>
      </c>
      <c r="C19" s="427" t="inlineStr">
        <is>
          <t>Text</t>
        </is>
      </c>
      <c r="D19" s="427" t="inlineStr">
        <is>
          <t>User input</t>
        </is>
      </c>
      <c r="E19" s="428" t="inlineStr">
        <is>
          <t>Used to guide review flags.</t>
        </is>
      </c>
      <c r="F19" s="364" t="n"/>
      <c r="G19" s="364" t="n"/>
      <c r="H19" s="364" t="n"/>
      <c r="I19" s="364" t="n"/>
      <c r="J19" s="364" t="n"/>
      <c r="K19" s="364" t="n"/>
      <c r="L19" s="364" t="n"/>
      <c r="M19" s="364" t="n"/>
      <c r="N19" s="364" t="n"/>
      <c r="O19" s="364" t="n"/>
      <c r="P19" s="364" t="n"/>
      <c r="Q19" s="364" t="n"/>
      <c r="R19" s="364" t="n"/>
      <c r="S19" s="364" t="n"/>
      <c r="T19" s="364" t="n"/>
      <c r="U19" s="364" t="n"/>
      <c r="V19" s="364" t="n"/>
      <c r="W19" s="364" t="n"/>
      <c r="X19" s="364" t="n"/>
      <c r="Y19" s="364" t="n"/>
      <c r="Z19" s="364" t="n"/>
    </row>
    <row r="20" ht="15" customHeight="1" s="34">
      <c r="A20" s="433" t="n"/>
      <c r="B20" s="434" t="n"/>
      <c r="C20" s="435" t="n"/>
      <c r="D20" s="436" t="n"/>
      <c r="E20" s="437" t="n"/>
      <c r="F20" s="364" t="n"/>
      <c r="G20" s="364" t="n"/>
      <c r="H20" s="364" t="n"/>
      <c r="I20" s="364" t="n"/>
      <c r="J20" s="364" t="n"/>
      <c r="K20" s="364" t="n"/>
      <c r="L20" s="364" t="n"/>
      <c r="M20" s="364" t="n"/>
      <c r="N20" s="364" t="n"/>
      <c r="O20" s="364" t="n"/>
      <c r="P20" s="364" t="n"/>
      <c r="Q20" s="364" t="n"/>
      <c r="R20" s="364" t="n"/>
      <c r="S20" s="364" t="n"/>
      <c r="T20" s="364" t="n"/>
      <c r="U20" s="364" t="n"/>
      <c r="V20" s="364" t="n"/>
      <c r="W20" s="364" t="n"/>
      <c r="X20" s="364" t="n"/>
      <c r="Y20" s="364" t="n"/>
      <c r="Z20" s="364" t="n"/>
    </row>
    <row r="21" ht="15" customHeight="1" s="34">
      <c r="A21" s="364" t="n"/>
      <c r="B21" s="364" t="n"/>
      <c r="C21" s="364" t="n"/>
      <c r="D21" s="364" t="n"/>
      <c r="E21" s="364" t="n"/>
      <c r="F21" s="364" t="n"/>
      <c r="G21" s="364" t="n"/>
      <c r="H21" s="364" t="n"/>
      <c r="I21" s="364" t="n"/>
      <c r="J21" s="364" t="n"/>
      <c r="K21" s="364" t="n"/>
      <c r="L21" s="364" t="n"/>
      <c r="M21" s="364" t="n"/>
      <c r="N21" s="364" t="n"/>
      <c r="O21" s="364" t="n"/>
      <c r="P21" s="364" t="n"/>
      <c r="Q21" s="364" t="n"/>
      <c r="R21" s="364" t="n"/>
      <c r="S21" s="364" t="n"/>
      <c r="T21" s="364" t="n"/>
      <c r="U21" s="364" t="n"/>
      <c r="V21" s="364" t="n"/>
      <c r="W21" s="364" t="n"/>
      <c r="X21" s="364" t="n"/>
      <c r="Y21" s="364" t="n"/>
      <c r="Z21" s="364" t="n"/>
    </row>
    <row r="22" ht="15" customHeight="1" s="34">
      <c r="A22" s="364" t="n"/>
      <c r="B22" s="364" t="n"/>
      <c r="C22" s="364" t="n"/>
      <c r="D22" s="364" t="n"/>
      <c r="E22" s="364" t="n"/>
      <c r="F22" s="364" t="n"/>
      <c r="G22" s="364" t="n"/>
      <c r="H22" s="364" t="n"/>
      <c r="I22" s="364" t="n"/>
      <c r="J22" s="364" t="n"/>
      <c r="K22" s="364" t="n"/>
      <c r="L22" s="364" t="n"/>
      <c r="M22" s="364" t="n"/>
      <c r="N22" s="364" t="n"/>
      <c r="O22" s="364" t="n"/>
      <c r="P22" s="364" t="n"/>
      <c r="Q22" s="364" t="n"/>
      <c r="R22" s="364" t="n"/>
      <c r="S22" s="364" t="n"/>
      <c r="T22" s="364" t="n"/>
      <c r="U22" s="364" t="n"/>
      <c r="V22" s="364" t="n"/>
      <c r="W22" s="364" t="n"/>
      <c r="X22" s="364" t="n"/>
      <c r="Y22" s="364" t="n"/>
      <c r="Z22" s="364" t="n"/>
    </row>
    <row r="23" ht="15" customHeight="1" s="34">
      <c r="A23" s="364" t="n"/>
      <c r="B23" s="364" t="n"/>
      <c r="C23" s="364" t="n"/>
      <c r="D23" s="364" t="n"/>
      <c r="E23" s="364" t="n"/>
      <c r="F23" s="364" t="n"/>
      <c r="G23" s="364" t="n"/>
      <c r="H23" s="364" t="n"/>
      <c r="I23" s="364" t="n"/>
      <c r="J23" s="364" t="n"/>
      <c r="K23" s="364" t="n"/>
      <c r="L23" s="364" t="n"/>
      <c r="M23" s="364" t="n"/>
      <c r="N23" s="364" t="n"/>
      <c r="O23" s="364" t="n"/>
      <c r="P23" s="364" t="n"/>
      <c r="Q23" s="364" t="n"/>
      <c r="R23" s="364" t="n"/>
      <c r="S23" s="364" t="n"/>
      <c r="T23" s="364" t="n"/>
      <c r="U23" s="364" t="n"/>
      <c r="V23" s="364" t="n"/>
      <c r="W23" s="364" t="n"/>
      <c r="X23" s="364" t="n"/>
      <c r="Y23" s="364" t="n"/>
      <c r="Z23" s="364" t="n"/>
    </row>
    <row r="24" ht="15" customHeight="1" s="34">
      <c r="A24" s="364" t="n"/>
      <c r="B24" s="364" t="n"/>
      <c r="C24" s="364" t="n"/>
      <c r="D24" s="364" t="n"/>
      <c r="E24" s="364" t="n"/>
      <c r="F24" s="364" t="n"/>
      <c r="G24" s="364" t="n"/>
      <c r="H24" s="364" t="n"/>
      <c r="I24" s="364" t="n"/>
      <c r="J24" s="364" t="n"/>
      <c r="K24" s="364" t="n"/>
      <c r="L24" s="364" t="n"/>
      <c r="M24" s="364" t="n"/>
      <c r="N24" s="364" t="n"/>
      <c r="O24" s="364" t="n"/>
      <c r="P24" s="364" t="n"/>
      <c r="Q24" s="364" t="n"/>
      <c r="R24" s="364" t="n"/>
      <c r="S24" s="364" t="n"/>
      <c r="T24" s="364" t="n"/>
      <c r="U24" s="364" t="n"/>
      <c r="V24" s="364" t="n"/>
      <c r="W24" s="364" t="n"/>
      <c r="X24" s="364" t="n"/>
      <c r="Y24" s="364" t="n"/>
      <c r="Z24" s="364" t="n"/>
    </row>
    <row r="25" ht="15" customHeight="1" s="34">
      <c r="A25" s="364" t="n"/>
      <c r="B25" s="364" t="n"/>
      <c r="C25" s="364" t="n"/>
      <c r="D25" s="364" t="n"/>
      <c r="E25" s="364" t="n"/>
      <c r="F25" s="364" t="n"/>
      <c r="G25" s="364" t="n"/>
      <c r="H25" s="364" t="n"/>
      <c r="I25" s="364" t="n"/>
      <c r="J25" s="364" t="n"/>
      <c r="K25" s="364" t="n"/>
      <c r="L25" s="364" t="n"/>
      <c r="M25" s="364" t="n"/>
      <c r="N25" s="364" t="n"/>
      <c r="O25" s="364" t="n"/>
      <c r="P25" s="364" t="n"/>
      <c r="Q25" s="364" t="n"/>
      <c r="R25" s="364" t="n"/>
      <c r="S25" s="364" t="n"/>
      <c r="T25" s="364" t="n"/>
      <c r="U25" s="364" t="n"/>
      <c r="V25" s="364" t="n"/>
      <c r="W25" s="364" t="n"/>
      <c r="X25" s="364" t="n"/>
      <c r="Y25" s="364" t="n"/>
      <c r="Z25" s="364" t="n"/>
    </row>
    <row r="26" ht="15" customHeight="1" s="34">
      <c r="A26" s="364" t="n"/>
      <c r="B26" s="364" t="n"/>
      <c r="C26" s="364" t="n"/>
      <c r="D26" s="364" t="n"/>
      <c r="E26" s="364" t="n"/>
      <c r="F26" s="364" t="n"/>
      <c r="G26" s="364" t="n"/>
      <c r="H26" s="364" t="n"/>
      <c r="I26" s="364" t="n"/>
      <c r="J26" s="364" t="n"/>
      <c r="K26" s="364" t="n"/>
      <c r="L26" s="364" t="n"/>
      <c r="M26" s="364" t="n"/>
      <c r="N26" s="364" t="n"/>
      <c r="O26" s="364" t="n"/>
      <c r="P26" s="364" t="n"/>
      <c r="Q26" s="364" t="n"/>
      <c r="R26" s="364" t="n"/>
      <c r="S26" s="364" t="n"/>
      <c r="T26" s="364" t="n"/>
      <c r="U26" s="364" t="n"/>
      <c r="V26" s="364" t="n"/>
      <c r="W26" s="364" t="n"/>
      <c r="X26" s="364" t="n"/>
      <c r="Y26" s="364" t="n"/>
      <c r="Z26" s="364" t="n"/>
    </row>
    <row r="27" ht="15" customHeight="1" s="34">
      <c r="A27" s="364" t="n"/>
      <c r="B27" s="364" t="n"/>
      <c r="C27" s="364" t="n"/>
      <c r="D27" s="364" t="n"/>
      <c r="E27" s="364" t="n"/>
      <c r="F27" s="364" t="n"/>
      <c r="G27" s="364" t="n"/>
      <c r="H27" s="364" t="n"/>
      <c r="I27" s="364" t="n"/>
      <c r="J27" s="364" t="n"/>
      <c r="K27" s="364" t="n"/>
      <c r="L27" s="364" t="n"/>
      <c r="M27" s="364" t="n"/>
      <c r="N27" s="364" t="n"/>
      <c r="O27" s="364" t="n"/>
      <c r="P27" s="364" t="n"/>
      <c r="Q27" s="364" t="n"/>
      <c r="R27" s="364" t="n"/>
      <c r="S27" s="364" t="n"/>
      <c r="T27" s="364" t="n"/>
      <c r="U27" s="364" t="n"/>
      <c r="V27" s="364" t="n"/>
      <c r="W27" s="364" t="n"/>
      <c r="X27" s="364" t="n"/>
      <c r="Y27" s="364" t="n"/>
      <c r="Z27" s="364" t="n"/>
    </row>
    <row r="28" ht="15" customHeight="1" s="34">
      <c r="A28" s="364" t="n"/>
      <c r="B28" s="364" t="n"/>
      <c r="C28" s="364" t="n"/>
      <c r="D28" s="364" t="n"/>
      <c r="E28" s="364" t="n"/>
      <c r="F28" s="364" t="n"/>
      <c r="G28" s="364" t="n"/>
      <c r="H28" s="364" t="n"/>
      <c r="I28" s="364" t="n"/>
      <c r="J28" s="364" t="n"/>
      <c r="K28" s="364" t="n"/>
      <c r="L28" s="364" t="n"/>
      <c r="M28" s="364" t="n"/>
      <c r="N28" s="364" t="n"/>
      <c r="O28" s="364" t="n"/>
      <c r="P28" s="364" t="n"/>
      <c r="Q28" s="364" t="n"/>
      <c r="R28" s="364" t="n"/>
      <c r="S28" s="364" t="n"/>
      <c r="T28" s="364" t="n"/>
      <c r="U28" s="364" t="n"/>
      <c r="V28" s="364" t="n"/>
      <c r="W28" s="364" t="n"/>
      <c r="X28" s="364" t="n"/>
      <c r="Y28" s="364" t="n"/>
      <c r="Z28" s="364" t="n"/>
    </row>
    <row r="29" ht="15" customHeight="1" s="34">
      <c r="A29" s="364" t="n"/>
      <c r="B29" s="364" t="n"/>
      <c r="C29" s="364" t="n"/>
      <c r="D29" s="364" t="n"/>
      <c r="E29" s="364" t="n"/>
      <c r="F29" s="364" t="n"/>
      <c r="G29" s="364" t="n"/>
      <c r="H29" s="364" t="n"/>
      <c r="I29" s="364" t="n"/>
      <c r="J29" s="364" t="n"/>
      <c r="K29" s="364" t="n"/>
      <c r="L29" s="364" t="n"/>
      <c r="M29" s="364" t="n"/>
      <c r="N29" s="364" t="n"/>
      <c r="O29" s="364" t="n"/>
      <c r="P29" s="364" t="n"/>
      <c r="Q29" s="364" t="n"/>
      <c r="R29" s="364" t="n"/>
      <c r="S29" s="364" t="n"/>
      <c r="T29" s="364" t="n"/>
      <c r="U29" s="364" t="n"/>
      <c r="V29" s="364" t="n"/>
      <c r="W29" s="364" t="n"/>
      <c r="X29" s="364" t="n"/>
      <c r="Y29" s="364" t="n"/>
      <c r="Z29" s="364" t="n"/>
    </row>
    <row r="30" ht="15" customHeight="1" s="34">
      <c r="A30" s="364" t="n"/>
      <c r="B30" s="364" t="n"/>
      <c r="C30" s="364" t="n"/>
      <c r="D30" s="364" t="n"/>
      <c r="E30" s="364" t="n"/>
      <c r="F30" s="364" t="n"/>
      <c r="G30" s="364" t="n"/>
      <c r="H30" s="364" t="n"/>
      <c r="I30" s="364" t="n"/>
      <c r="J30" s="364" t="n"/>
      <c r="K30" s="364" t="n"/>
      <c r="L30" s="364" t="n"/>
      <c r="M30" s="364" t="n"/>
      <c r="N30" s="364" t="n"/>
      <c r="O30" s="364" t="n"/>
      <c r="P30" s="364" t="n"/>
      <c r="Q30" s="364" t="n"/>
      <c r="R30" s="364" t="n"/>
      <c r="S30" s="364" t="n"/>
      <c r="T30" s="364" t="n"/>
      <c r="U30" s="364" t="n"/>
      <c r="V30" s="364" t="n"/>
      <c r="W30" s="364" t="n"/>
      <c r="X30" s="364" t="n"/>
      <c r="Y30" s="364" t="n"/>
      <c r="Z30" s="364" t="n"/>
    </row>
    <row r="31" ht="15" customHeight="1" s="34">
      <c r="A31" s="364" t="n"/>
      <c r="B31" s="364" t="n"/>
      <c r="C31" s="364" t="n"/>
      <c r="D31" s="364" t="n"/>
      <c r="E31" s="364" t="n"/>
      <c r="F31" s="364" t="n"/>
      <c r="G31" s="364" t="n"/>
      <c r="H31" s="364" t="n"/>
      <c r="I31" s="364" t="n"/>
      <c r="J31" s="364" t="n"/>
      <c r="K31" s="364" t="n"/>
      <c r="L31" s="364" t="n"/>
      <c r="M31" s="364" t="n"/>
      <c r="N31" s="364" t="n"/>
      <c r="O31" s="364" t="n"/>
      <c r="P31" s="364" t="n"/>
      <c r="Q31" s="364" t="n"/>
      <c r="R31" s="364" t="n"/>
      <c r="S31" s="364" t="n"/>
      <c r="T31" s="364" t="n"/>
      <c r="U31" s="364" t="n"/>
      <c r="V31" s="364" t="n"/>
      <c r="W31" s="364" t="n"/>
      <c r="X31" s="364" t="n"/>
      <c r="Y31" s="364" t="n"/>
      <c r="Z31" s="364" t="n"/>
    </row>
    <row r="32" ht="15" customHeight="1" s="34">
      <c r="A32" s="364" t="n"/>
      <c r="B32" s="364" t="n"/>
      <c r="C32" s="364" t="n"/>
      <c r="D32" s="364" t="n"/>
      <c r="E32" s="364" t="n"/>
      <c r="F32" s="364" t="n"/>
      <c r="G32" s="364" t="n"/>
      <c r="H32" s="364" t="n"/>
      <c r="I32" s="364" t="n"/>
      <c r="J32" s="364" t="n"/>
      <c r="K32" s="364" t="n"/>
      <c r="L32" s="364" t="n"/>
      <c r="M32" s="364" t="n"/>
      <c r="N32" s="364" t="n"/>
      <c r="O32" s="364" t="n"/>
      <c r="P32" s="364" t="n"/>
      <c r="Q32" s="364" t="n"/>
      <c r="R32" s="364" t="n"/>
      <c r="S32" s="364" t="n"/>
      <c r="T32" s="364" t="n"/>
      <c r="U32" s="364" t="n"/>
      <c r="V32" s="364" t="n"/>
      <c r="W32" s="364" t="n"/>
      <c r="X32" s="364" t="n"/>
      <c r="Y32" s="364" t="n"/>
      <c r="Z32" s="364" t="n"/>
    </row>
    <row r="33" ht="15" customHeight="1" s="34">
      <c r="A33" s="364" t="n"/>
      <c r="B33" s="364" t="n"/>
      <c r="C33" s="364" t="n"/>
      <c r="D33" s="364" t="n"/>
      <c r="E33" s="364" t="n"/>
      <c r="F33" s="364" t="n"/>
      <c r="G33" s="364" t="n"/>
      <c r="H33" s="364" t="n"/>
      <c r="I33" s="364" t="n"/>
      <c r="J33" s="364" t="n"/>
      <c r="K33" s="364" t="n"/>
      <c r="L33" s="364" t="n"/>
      <c r="M33" s="364" t="n"/>
      <c r="N33" s="364" t="n"/>
      <c r="O33" s="364" t="n"/>
      <c r="P33" s="364" t="n"/>
      <c r="Q33" s="364" t="n"/>
      <c r="R33" s="364" t="n"/>
      <c r="S33" s="364" t="n"/>
      <c r="T33" s="364" t="n"/>
      <c r="U33" s="364" t="n"/>
      <c r="V33" s="364" t="n"/>
      <c r="W33" s="364" t="n"/>
      <c r="X33" s="364" t="n"/>
      <c r="Y33" s="364" t="n"/>
      <c r="Z33" s="364" t="n"/>
    </row>
    <row r="34" ht="15" customHeight="1" s="34">
      <c r="A34" s="364" t="n"/>
      <c r="B34" s="364" t="n"/>
      <c r="C34" s="364" t="n"/>
      <c r="D34" s="364" t="n"/>
      <c r="E34" s="364" t="n"/>
      <c r="F34" s="364" t="n"/>
      <c r="G34" s="364" t="n"/>
      <c r="H34" s="364" t="n"/>
      <c r="I34" s="364" t="n"/>
      <c r="J34" s="364" t="n"/>
      <c r="K34" s="364" t="n"/>
      <c r="L34" s="364" t="n"/>
      <c r="M34" s="364" t="n"/>
      <c r="N34" s="364" t="n"/>
      <c r="O34" s="364" t="n"/>
      <c r="P34" s="364" t="n"/>
      <c r="Q34" s="364" t="n"/>
      <c r="R34" s="364" t="n"/>
      <c r="S34" s="364" t="n"/>
      <c r="T34" s="364" t="n"/>
      <c r="U34" s="364" t="n"/>
      <c r="V34" s="364" t="n"/>
      <c r="W34" s="364" t="n"/>
      <c r="X34" s="364" t="n"/>
      <c r="Y34" s="364" t="n"/>
      <c r="Z34" s="364" t="n"/>
    </row>
    <row r="35" ht="15" customHeight="1" s="34">
      <c r="A35" s="364" t="n"/>
      <c r="B35" s="364" t="n"/>
      <c r="C35" s="364" t="n"/>
      <c r="D35" s="364" t="n"/>
      <c r="E35" s="364" t="n"/>
      <c r="F35" s="364" t="n"/>
      <c r="G35" s="364" t="n"/>
      <c r="H35" s="364" t="n"/>
      <c r="I35" s="364" t="n"/>
      <c r="J35" s="364" t="n"/>
      <c r="K35" s="364" t="n"/>
      <c r="L35" s="364" t="n"/>
      <c r="M35" s="364" t="n"/>
      <c r="N35" s="364" t="n"/>
      <c r="O35" s="364" t="n"/>
      <c r="P35" s="364" t="n"/>
      <c r="Q35" s="364" t="n"/>
      <c r="R35" s="364" t="n"/>
      <c r="S35" s="364" t="n"/>
      <c r="T35" s="364" t="n"/>
      <c r="U35" s="364" t="n"/>
      <c r="V35" s="364" t="n"/>
      <c r="W35" s="364" t="n"/>
      <c r="X35" s="364" t="n"/>
      <c r="Y35" s="364" t="n"/>
      <c r="Z35" s="364" t="n"/>
    </row>
    <row r="36" ht="15" customHeight="1" s="34">
      <c r="A36" s="364" t="n"/>
      <c r="B36" s="364" t="n"/>
      <c r="C36" s="364" t="n"/>
      <c r="D36" s="364" t="n"/>
      <c r="E36" s="364" t="n"/>
      <c r="F36" s="364" t="n"/>
      <c r="G36" s="364" t="n"/>
      <c r="H36" s="364" t="n"/>
      <c r="I36" s="364" t="n"/>
      <c r="J36" s="364" t="n"/>
      <c r="K36" s="364" t="n"/>
      <c r="L36" s="364" t="n"/>
      <c r="M36" s="364" t="n"/>
      <c r="N36" s="364" t="n"/>
      <c r="O36" s="364" t="n"/>
      <c r="P36" s="364" t="n"/>
      <c r="Q36" s="364" t="n"/>
      <c r="R36" s="364" t="n"/>
      <c r="S36" s="364" t="n"/>
      <c r="T36" s="364" t="n"/>
      <c r="U36" s="364" t="n"/>
      <c r="V36" s="364" t="n"/>
      <c r="W36" s="364" t="n"/>
      <c r="X36" s="364" t="n"/>
      <c r="Y36" s="364" t="n"/>
      <c r="Z36" s="364" t="n"/>
    </row>
    <row r="37" ht="15" customHeight="1" s="34">
      <c r="A37" s="364" t="n"/>
      <c r="B37" s="364" t="n"/>
      <c r="C37" s="364" t="n"/>
      <c r="D37" s="364" t="n"/>
      <c r="E37" s="364" t="n"/>
      <c r="F37" s="364" t="n"/>
      <c r="G37" s="364" t="n"/>
      <c r="H37" s="364" t="n"/>
      <c r="I37" s="364" t="n"/>
      <c r="J37" s="364" t="n"/>
      <c r="K37" s="364" t="n"/>
      <c r="L37" s="364" t="n"/>
      <c r="M37" s="364" t="n"/>
      <c r="N37" s="364" t="n"/>
      <c r="O37" s="364" t="n"/>
      <c r="P37" s="364" t="n"/>
      <c r="Q37" s="364" t="n"/>
      <c r="R37" s="364" t="n"/>
      <c r="S37" s="364" t="n"/>
      <c r="T37" s="364" t="n"/>
      <c r="U37" s="364" t="n"/>
      <c r="V37" s="364" t="n"/>
      <c r="W37" s="364" t="n"/>
      <c r="X37" s="364" t="n"/>
      <c r="Y37" s="364" t="n"/>
      <c r="Z37" s="364" t="n"/>
    </row>
    <row r="38" ht="15" customHeight="1" s="34">
      <c r="A38" s="364" t="n"/>
      <c r="B38" s="364" t="n"/>
      <c r="C38" s="364" t="n"/>
      <c r="D38" s="364" t="n"/>
      <c r="E38" s="364" t="n"/>
      <c r="F38" s="364" t="n"/>
      <c r="G38" s="364" t="n"/>
      <c r="H38" s="364" t="n"/>
      <c r="I38" s="364" t="n"/>
      <c r="J38" s="364" t="n"/>
      <c r="K38" s="364" t="n"/>
      <c r="L38" s="364" t="n"/>
      <c r="M38" s="364" t="n"/>
      <c r="N38" s="364" t="n"/>
      <c r="O38" s="364" t="n"/>
      <c r="P38" s="364" t="n"/>
      <c r="Q38" s="364" t="n"/>
      <c r="R38" s="364" t="n"/>
      <c r="S38" s="364" t="n"/>
      <c r="T38" s="364" t="n"/>
      <c r="U38" s="364" t="n"/>
      <c r="V38" s="364" t="n"/>
      <c r="W38" s="364" t="n"/>
      <c r="X38" s="364" t="n"/>
      <c r="Y38" s="364" t="n"/>
      <c r="Z38" s="364" t="n"/>
    </row>
    <row r="39" ht="15" customHeight="1" s="34">
      <c r="A39" s="364" t="n"/>
      <c r="B39" s="364" t="n"/>
      <c r="C39" s="364" t="n"/>
      <c r="D39" s="364" t="n"/>
      <c r="E39" s="364" t="n"/>
      <c r="F39" s="364" t="n"/>
      <c r="G39" s="364" t="n"/>
      <c r="H39" s="364" t="n"/>
      <c r="I39" s="364" t="n"/>
      <c r="J39" s="364" t="n"/>
      <c r="K39" s="364" t="n"/>
      <c r="L39" s="364" t="n"/>
      <c r="M39" s="364" t="n"/>
      <c r="N39" s="364" t="n"/>
      <c r="O39" s="364" t="n"/>
      <c r="P39" s="364" t="n"/>
      <c r="Q39" s="364" t="n"/>
      <c r="R39" s="364" t="n"/>
      <c r="S39" s="364" t="n"/>
      <c r="T39" s="364" t="n"/>
      <c r="U39" s="364" t="n"/>
      <c r="V39" s="364" t="n"/>
      <c r="W39" s="364" t="n"/>
      <c r="X39" s="364" t="n"/>
      <c r="Y39" s="364" t="n"/>
      <c r="Z39" s="364" t="n"/>
    </row>
    <row r="40" ht="15" customHeight="1" s="34">
      <c r="A40" s="364" t="n"/>
      <c r="B40" s="364" t="n"/>
      <c r="C40" s="364" t="n"/>
      <c r="D40" s="364" t="n"/>
      <c r="E40" s="364" t="n"/>
      <c r="F40" s="364" t="n"/>
      <c r="G40" s="364" t="n"/>
      <c r="H40" s="364" t="n"/>
      <c r="I40" s="364" t="n"/>
      <c r="J40" s="364" t="n"/>
      <c r="K40" s="364" t="n"/>
      <c r="L40" s="364" t="n"/>
      <c r="M40" s="364" t="n"/>
      <c r="N40" s="364" t="n"/>
      <c r="O40" s="364" t="n"/>
      <c r="P40" s="364" t="n"/>
      <c r="Q40" s="364" t="n"/>
      <c r="R40" s="364" t="n"/>
      <c r="S40" s="364" t="n"/>
      <c r="T40" s="364" t="n"/>
      <c r="U40" s="364" t="n"/>
      <c r="V40" s="364" t="n"/>
      <c r="W40" s="364" t="n"/>
      <c r="X40" s="364" t="n"/>
      <c r="Y40" s="364" t="n"/>
      <c r="Z40" s="364" t="n"/>
    </row>
    <row r="41">
      <c r="A41" s="364" t="n"/>
      <c r="B41" s="364" t="n"/>
      <c r="C41" s="364" t="n"/>
      <c r="D41" s="364" t="n"/>
      <c r="E41" s="364" t="n"/>
      <c r="F41" s="364" t="n"/>
      <c r="G41" s="364" t="n"/>
      <c r="H41" s="364" t="n"/>
      <c r="I41" s="364" t="n"/>
      <c r="J41" s="364" t="n"/>
      <c r="K41" s="364" t="n"/>
      <c r="L41" s="364" t="n"/>
      <c r="M41" s="364" t="n"/>
      <c r="N41" s="364" t="n"/>
      <c r="O41" s="364" t="n"/>
      <c r="P41" s="364" t="n"/>
      <c r="Q41" s="364" t="n"/>
      <c r="R41" s="364" t="n"/>
      <c r="S41" s="364" t="n"/>
      <c r="T41" s="364" t="n"/>
      <c r="U41" s="364" t="n"/>
      <c r="V41" s="364" t="n"/>
      <c r="W41" s="364" t="n"/>
      <c r="X41" s="364" t="n"/>
      <c r="Y41" s="364" t="n"/>
      <c r="Z41" s="364" t="n"/>
    </row>
    <row r="42">
      <c r="A42" s="364" t="n"/>
      <c r="B42" s="364" t="n"/>
      <c r="C42" s="364" t="n"/>
      <c r="D42" s="364" t="n"/>
      <c r="E42" s="364" t="n"/>
      <c r="F42" s="364" t="n"/>
      <c r="G42" s="364" t="n"/>
      <c r="H42" s="364" t="n"/>
      <c r="I42" s="364" t="n"/>
      <c r="J42" s="364" t="n"/>
      <c r="K42" s="364" t="n"/>
      <c r="L42" s="364" t="n"/>
      <c r="M42" s="364" t="n"/>
      <c r="N42" s="364" t="n"/>
      <c r="O42" s="364" t="n"/>
      <c r="P42" s="364" t="n"/>
      <c r="Q42" s="364" t="n"/>
      <c r="R42" s="364" t="n"/>
      <c r="S42" s="364" t="n"/>
      <c r="T42" s="364" t="n"/>
      <c r="U42" s="364" t="n"/>
      <c r="V42" s="364" t="n"/>
      <c r="W42" s="364" t="n"/>
      <c r="X42" s="364" t="n"/>
      <c r="Y42" s="364" t="n"/>
      <c r="Z42" s="364" t="n"/>
    </row>
    <row r="43">
      <c r="A43" s="364" t="n"/>
      <c r="B43" s="364" t="n"/>
      <c r="C43" s="364" t="n"/>
      <c r="D43" s="364" t="n"/>
      <c r="E43" s="364" t="n"/>
      <c r="F43" s="364" t="n"/>
      <c r="G43" s="364" t="n"/>
      <c r="H43" s="364" t="n"/>
      <c r="I43" s="364" t="n"/>
      <c r="J43" s="364" t="n"/>
      <c r="K43" s="364" t="n"/>
      <c r="L43" s="364" t="n"/>
      <c r="M43" s="364" t="n"/>
      <c r="N43" s="364" t="n"/>
      <c r="O43" s="364" t="n"/>
      <c r="P43" s="364" t="n"/>
      <c r="Q43" s="364" t="n"/>
      <c r="R43" s="364" t="n"/>
      <c r="S43" s="364" t="n"/>
      <c r="T43" s="364" t="n"/>
      <c r="U43" s="364" t="n"/>
      <c r="V43" s="364" t="n"/>
      <c r="W43" s="364" t="n"/>
      <c r="X43" s="364" t="n"/>
      <c r="Y43" s="364" t="n"/>
      <c r="Z43" s="364" t="n"/>
    </row>
    <row r="44">
      <c r="A44" s="364" t="n"/>
      <c r="B44" s="364" t="n"/>
      <c r="C44" s="364" t="n"/>
      <c r="D44" s="364" t="n"/>
      <c r="E44" s="364" t="n"/>
      <c r="F44" s="364" t="n"/>
      <c r="G44" s="364" t="n"/>
      <c r="H44" s="364" t="n"/>
      <c r="I44" s="364" t="n"/>
      <c r="J44" s="364" t="n"/>
      <c r="K44" s="364" t="n"/>
      <c r="L44" s="364" t="n"/>
      <c r="M44" s="364" t="n"/>
      <c r="N44" s="364" t="n"/>
      <c r="O44" s="364" t="n"/>
      <c r="P44" s="364" t="n"/>
      <c r="Q44" s="364" t="n"/>
      <c r="R44" s="364" t="n"/>
      <c r="S44" s="364" t="n"/>
      <c r="T44" s="364" t="n"/>
      <c r="U44" s="364" t="n"/>
      <c r="V44" s="364" t="n"/>
      <c r="W44" s="364" t="n"/>
      <c r="X44" s="364" t="n"/>
      <c r="Y44" s="364" t="n"/>
      <c r="Z44" s="364" t="n"/>
    </row>
    <row r="45">
      <c r="A45" s="364" t="n"/>
      <c r="B45" s="364" t="n"/>
      <c r="C45" s="364" t="n"/>
      <c r="D45" s="364" t="n"/>
      <c r="E45" s="364" t="n"/>
      <c r="F45" s="364" t="n"/>
      <c r="G45" s="364" t="n"/>
      <c r="H45" s="364" t="n"/>
      <c r="I45" s="364" t="n"/>
      <c r="J45" s="364" t="n"/>
      <c r="K45" s="364" t="n"/>
      <c r="L45" s="364" t="n"/>
      <c r="M45" s="364" t="n"/>
      <c r="N45" s="364" t="n"/>
      <c r="O45" s="364" t="n"/>
      <c r="P45" s="364" t="n"/>
      <c r="Q45" s="364" t="n"/>
      <c r="R45" s="364" t="n"/>
      <c r="S45" s="364" t="n"/>
      <c r="T45" s="364" t="n"/>
      <c r="U45" s="364" t="n"/>
      <c r="V45" s="364" t="n"/>
      <c r="W45" s="364" t="n"/>
      <c r="X45" s="364" t="n"/>
      <c r="Y45" s="364" t="n"/>
      <c r="Z45" s="364" t="n"/>
    </row>
    <row r="46">
      <c r="A46" s="364" t="n"/>
      <c r="B46" s="364" t="n"/>
      <c r="C46" s="364" t="n"/>
      <c r="D46" s="364" t="n"/>
      <c r="E46" s="364" t="n"/>
      <c r="F46" s="364" t="n"/>
      <c r="G46" s="364" t="n"/>
      <c r="H46" s="364" t="n"/>
      <c r="I46" s="364" t="n"/>
      <c r="J46" s="364" t="n"/>
      <c r="K46" s="364" t="n"/>
      <c r="L46" s="364" t="n"/>
      <c r="M46" s="364" t="n"/>
      <c r="N46" s="364" t="n"/>
      <c r="O46" s="364" t="n"/>
      <c r="P46" s="364" t="n"/>
      <c r="Q46" s="364" t="n"/>
      <c r="R46" s="364" t="n"/>
      <c r="S46" s="364" t="n"/>
      <c r="T46" s="364" t="n"/>
      <c r="U46" s="364" t="n"/>
      <c r="V46" s="364" t="n"/>
      <c r="W46" s="364" t="n"/>
      <c r="X46" s="364" t="n"/>
      <c r="Y46" s="364" t="n"/>
      <c r="Z46" s="364" t="n"/>
    </row>
    <row r="47">
      <c r="A47" s="364" t="n"/>
      <c r="B47" s="364" t="n"/>
      <c r="C47" s="364" t="n"/>
      <c r="D47" s="364" t="n"/>
      <c r="E47" s="364" t="n"/>
      <c r="F47" s="364" t="n"/>
      <c r="G47" s="364" t="n"/>
      <c r="H47" s="364" t="n"/>
      <c r="I47" s="364" t="n"/>
      <c r="J47" s="364" t="n"/>
      <c r="K47" s="364" t="n"/>
      <c r="L47" s="364" t="n"/>
      <c r="M47" s="364" t="n"/>
      <c r="N47" s="364" t="n"/>
      <c r="O47" s="364" t="n"/>
      <c r="P47" s="364" t="n"/>
      <c r="Q47" s="364" t="n"/>
      <c r="R47" s="364" t="n"/>
      <c r="S47" s="364" t="n"/>
      <c r="T47" s="364" t="n"/>
      <c r="U47" s="364" t="n"/>
      <c r="V47" s="364" t="n"/>
      <c r="W47" s="364" t="n"/>
      <c r="X47" s="364" t="n"/>
      <c r="Y47" s="364" t="n"/>
      <c r="Z47" s="364" t="n"/>
    </row>
    <row r="48">
      <c r="A48" s="364" t="n"/>
      <c r="B48" s="364" t="n"/>
      <c r="C48" s="364" t="n"/>
      <c r="D48" s="364" t="n"/>
      <c r="E48" s="364" t="n"/>
      <c r="F48" s="364" t="n"/>
      <c r="G48" s="364" t="n"/>
      <c r="H48" s="364" t="n"/>
      <c r="I48" s="364" t="n"/>
      <c r="J48" s="364" t="n"/>
      <c r="K48" s="364" t="n"/>
      <c r="L48" s="364" t="n"/>
      <c r="M48" s="364" t="n"/>
      <c r="N48" s="364" t="n"/>
      <c r="O48" s="364" t="n"/>
      <c r="P48" s="364" t="n"/>
      <c r="Q48" s="364" t="n"/>
      <c r="R48" s="364" t="n"/>
      <c r="S48" s="364" t="n"/>
      <c r="T48" s="364" t="n"/>
      <c r="U48" s="364" t="n"/>
      <c r="V48" s="364" t="n"/>
      <c r="W48" s="364" t="n"/>
      <c r="X48" s="364" t="n"/>
      <c r="Y48" s="364" t="n"/>
      <c r="Z48" s="364" t="n"/>
    </row>
    <row r="49">
      <c r="A49" s="364" t="n"/>
      <c r="B49" s="364" t="n"/>
      <c r="C49" s="364" t="n"/>
      <c r="D49" s="364" t="n"/>
      <c r="E49" s="364" t="n"/>
      <c r="F49" s="364" t="n"/>
      <c r="G49" s="364" t="n"/>
      <c r="H49" s="364" t="n"/>
      <c r="I49" s="364" t="n"/>
      <c r="J49" s="364" t="n"/>
      <c r="K49" s="364" t="n"/>
      <c r="L49" s="364" t="n"/>
      <c r="M49" s="364" t="n"/>
      <c r="N49" s="364" t="n"/>
      <c r="O49" s="364" t="n"/>
      <c r="P49" s="364" t="n"/>
      <c r="Q49" s="364" t="n"/>
      <c r="R49" s="364" t="n"/>
      <c r="S49" s="364" t="n"/>
      <c r="T49" s="364" t="n"/>
      <c r="U49" s="364" t="n"/>
      <c r="V49" s="364" t="n"/>
      <c r="W49" s="364" t="n"/>
      <c r="X49" s="364" t="n"/>
      <c r="Y49" s="364" t="n"/>
      <c r="Z49" s="364" t="n"/>
    </row>
    <row r="50">
      <c r="A50" s="364" t="n"/>
      <c r="B50" s="364" t="n"/>
      <c r="C50" s="364" t="n"/>
      <c r="D50" s="364" t="n"/>
      <c r="E50" s="364" t="n"/>
      <c r="F50" s="364" t="n"/>
      <c r="G50" s="364" t="n"/>
      <c r="H50" s="364" t="n"/>
      <c r="I50" s="364" t="n"/>
      <c r="J50" s="364" t="n"/>
      <c r="K50" s="364" t="n"/>
      <c r="L50" s="364" t="n"/>
      <c r="M50" s="364" t="n"/>
      <c r="N50" s="364" t="n"/>
      <c r="O50" s="364" t="n"/>
      <c r="P50" s="364" t="n"/>
      <c r="Q50" s="364" t="n"/>
      <c r="R50" s="364" t="n"/>
      <c r="S50" s="364" t="n"/>
      <c r="T50" s="364" t="n"/>
      <c r="U50" s="364" t="n"/>
      <c r="V50" s="364" t="n"/>
      <c r="W50" s="364" t="n"/>
      <c r="X50" s="364" t="n"/>
      <c r="Y50" s="364" t="n"/>
      <c r="Z50" s="364" t="n"/>
    </row>
    <row r="51">
      <c r="A51" s="364" t="n"/>
      <c r="B51" s="364" t="n"/>
      <c r="C51" s="364" t="n"/>
      <c r="D51" s="364" t="n"/>
      <c r="E51" s="364" t="n"/>
      <c r="F51" s="364" t="n"/>
      <c r="G51" s="364" t="n"/>
      <c r="H51" s="364" t="n"/>
      <c r="I51" s="364" t="n"/>
      <c r="J51" s="364" t="n"/>
      <c r="K51" s="364" t="n"/>
      <c r="L51" s="364" t="n"/>
      <c r="M51" s="364" t="n"/>
      <c r="N51" s="364" t="n"/>
      <c r="O51" s="364" t="n"/>
      <c r="P51" s="364" t="n"/>
      <c r="Q51" s="364" t="n"/>
      <c r="R51" s="364" t="n"/>
      <c r="S51" s="364" t="n"/>
      <c r="T51" s="364" t="n"/>
      <c r="U51" s="364" t="n"/>
      <c r="V51" s="364" t="n"/>
      <c r="W51" s="364" t="n"/>
      <c r="X51" s="364" t="n"/>
      <c r="Y51" s="364" t="n"/>
      <c r="Z51" s="364" t="n"/>
    </row>
    <row r="52">
      <c r="A52" s="364" t="n"/>
      <c r="B52" s="364" t="n"/>
      <c r="C52" s="364" t="n"/>
      <c r="D52" s="364" t="n"/>
      <c r="E52" s="364" t="n"/>
      <c r="F52" s="364" t="n"/>
      <c r="G52" s="364" t="n"/>
      <c r="H52" s="364" t="n"/>
      <c r="I52" s="364" t="n"/>
      <c r="J52" s="364" t="n"/>
      <c r="K52" s="364" t="n"/>
      <c r="L52" s="364" t="n"/>
      <c r="M52" s="364" t="n"/>
      <c r="N52" s="364" t="n"/>
      <c r="O52" s="364" t="n"/>
      <c r="P52" s="364" t="n"/>
      <c r="Q52" s="364" t="n"/>
      <c r="R52" s="364" t="n"/>
      <c r="S52" s="364" t="n"/>
      <c r="T52" s="364" t="n"/>
      <c r="U52" s="364" t="n"/>
      <c r="V52" s="364" t="n"/>
      <c r="W52" s="364" t="n"/>
      <c r="X52" s="364" t="n"/>
      <c r="Y52" s="364" t="n"/>
      <c r="Z52" s="364" t="n"/>
    </row>
    <row r="53">
      <c r="A53" s="364" t="n"/>
      <c r="B53" s="364" t="n"/>
      <c r="C53" s="364" t="n"/>
      <c r="D53" s="364" t="n"/>
      <c r="E53" s="364" t="n"/>
      <c r="F53" s="364" t="n"/>
      <c r="G53" s="364" t="n"/>
      <c r="H53" s="364" t="n"/>
      <c r="I53" s="364" t="n"/>
      <c r="J53" s="364" t="n"/>
      <c r="K53" s="364" t="n"/>
      <c r="L53" s="364" t="n"/>
      <c r="M53" s="364" t="n"/>
      <c r="N53" s="364" t="n"/>
      <c r="O53" s="364" t="n"/>
      <c r="P53" s="364" t="n"/>
      <c r="Q53" s="364" t="n"/>
      <c r="R53" s="364" t="n"/>
      <c r="S53" s="364" t="n"/>
      <c r="T53" s="364" t="n"/>
      <c r="U53" s="364" t="n"/>
      <c r="V53" s="364" t="n"/>
      <c r="W53" s="364" t="n"/>
      <c r="X53" s="364" t="n"/>
      <c r="Y53" s="364" t="n"/>
      <c r="Z53" s="364" t="n"/>
    </row>
    <row r="54">
      <c r="A54" s="364" t="n"/>
      <c r="B54" s="364" t="n"/>
      <c r="C54" s="364" t="n"/>
      <c r="D54" s="364" t="n"/>
      <c r="E54" s="364" t="n"/>
      <c r="F54" s="364" t="n"/>
      <c r="G54" s="364" t="n"/>
      <c r="H54" s="364" t="n"/>
      <c r="I54" s="364" t="n"/>
      <c r="J54" s="364" t="n"/>
      <c r="K54" s="364" t="n"/>
      <c r="L54" s="364" t="n"/>
      <c r="M54" s="364" t="n"/>
      <c r="N54" s="364" t="n"/>
      <c r="O54" s="364" t="n"/>
      <c r="P54" s="364" t="n"/>
      <c r="Q54" s="364" t="n"/>
      <c r="R54" s="364" t="n"/>
      <c r="S54" s="364" t="n"/>
      <c r="T54" s="364" t="n"/>
      <c r="U54" s="364" t="n"/>
      <c r="V54" s="364" t="n"/>
      <c r="W54" s="364" t="n"/>
      <c r="X54" s="364" t="n"/>
      <c r="Y54" s="364" t="n"/>
      <c r="Z54" s="364" t="n"/>
    </row>
    <row r="55">
      <c r="A55" s="364" t="n"/>
      <c r="B55" s="364" t="n"/>
      <c r="C55" s="364" t="n"/>
      <c r="D55" s="364" t="n"/>
      <c r="E55" s="364" t="n"/>
      <c r="F55" s="364" t="n"/>
      <c r="G55" s="364" t="n"/>
      <c r="H55" s="364" t="n"/>
      <c r="I55" s="364" t="n"/>
      <c r="J55" s="364" t="n"/>
      <c r="K55" s="364" t="n"/>
      <c r="L55" s="364" t="n"/>
      <c r="M55" s="364" t="n"/>
      <c r="N55" s="364" t="n"/>
      <c r="O55" s="364" t="n"/>
      <c r="P55" s="364" t="n"/>
      <c r="Q55" s="364" t="n"/>
      <c r="R55" s="364" t="n"/>
      <c r="S55" s="364" t="n"/>
      <c r="T55" s="364" t="n"/>
      <c r="U55" s="364" t="n"/>
      <c r="V55" s="364" t="n"/>
      <c r="W55" s="364" t="n"/>
      <c r="X55" s="364" t="n"/>
      <c r="Y55" s="364" t="n"/>
      <c r="Z55" s="364" t="n"/>
    </row>
    <row r="56">
      <c r="A56" s="364" t="n"/>
      <c r="B56" s="364" t="n"/>
      <c r="C56" s="364" t="n"/>
      <c r="D56" s="364" t="n"/>
      <c r="E56" s="364" t="n"/>
      <c r="F56" s="364" t="n"/>
      <c r="G56" s="364" t="n"/>
      <c r="H56" s="364" t="n"/>
      <c r="I56" s="364" t="n"/>
      <c r="J56" s="364" t="n"/>
      <c r="K56" s="364" t="n"/>
      <c r="L56" s="364" t="n"/>
      <c r="M56" s="364" t="n"/>
      <c r="N56" s="364" t="n"/>
      <c r="O56" s="364" t="n"/>
      <c r="P56" s="364" t="n"/>
      <c r="Q56" s="364" t="n"/>
      <c r="R56" s="364" t="n"/>
      <c r="S56" s="364" t="n"/>
      <c r="T56" s="364" t="n"/>
      <c r="U56" s="364" t="n"/>
      <c r="V56" s="364" t="n"/>
      <c r="W56" s="364" t="n"/>
      <c r="X56" s="364" t="n"/>
      <c r="Y56" s="364" t="n"/>
      <c r="Z56" s="364" t="n"/>
    </row>
    <row r="57">
      <c r="A57" s="364" t="n"/>
      <c r="B57" s="364" t="n"/>
      <c r="C57" s="364" t="n"/>
      <c r="D57" s="364" t="n"/>
      <c r="E57" s="364" t="n"/>
      <c r="F57" s="364" t="n"/>
      <c r="G57" s="364" t="n"/>
      <c r="H57" s="364" t="n"/>
      <c r="I57" s="364" t="n"/>
      <c r="J57" s="364" t="n"/>
      <c r="K57" s="364" t="n"/>
      <c r="L57" s="364" t="n"/>
      <c r="M57" s="364" t="n"/>
      <c r="N57" s="364" t="n"/>
      <c r="O57" s="364" t="n"/>
      <c r="P57" s="364" t="n"/>
      <c r="Q57" s="364" t="n"/>
      <c r="R57" s="364" t="n"/>
      <c r="S57" s="364" t="n"/>
      <c r="T57" s="364" t="n"/>
      <c r="U57" s="364" t="n"/>
      <c r="V57" s="364" t="n"/>
      <c r="W57" s="364" t="n"/>
      <c r="X57" s="364" t="n"/>
      <c r="Y57" s="364" t="n"/>
      <c r="Z57" s="364" t="n"/>
    </row>
    <row r="58">
      <c r="A58" s="364" t="n"/>
      <c r="B58" s="364" t="n"/>
      <c r="C58" s="364" t="n"/>
      <c r="D58" s="364" t="n"/>
      <c r="E58" s="364" t="n"/>
      <c r="F58" s="364" t="n"/>
      <c r="G58" s="364" t="n"/>
      <c r="H58" s="364" t="n"/>
      <c r="I58" s="364" t="n"/>
      <c r="J58" s="364" t="n"/>
      <c r="K58" s="364" t="n"/>
      <c r="L58" s="364" t="n"/>
      <c r="M58" s="364" t="n"/>
      <c r="N58" s="364" t="n"/>
      <c r="O58" s="364" t="n"/>
      <c r="P58" s="364" t="n"/>
      <c r="Q58" s="364" t="n"/>
      <c r="R58" s="364" t="n"/>
      <c r="S58" s="364" t="n"/>
      <c r="T58" s="364" t="n"/>
      <c r="U58" s="364" t="n"/>
      <c r="V58" s="364" t="n"/>
      <c r="W58" s="364" t="n"/>
      <c r="X58" s="364" t="n"/>
      <c r="Y58" s="364" t="n"/>
      <c r="Z58" s="364" t="n"/>
    </row>
    <row r="59">
      <c r="A59" s="364" t="n"/>
      <c r="B59" s="364" t="n"/>
      <c r="C59" s="364" t="n"/>
      <c r="D59" s="364" t="n"/>
      <c r="E59" s="364" t="n"/>
      <c r="F59" s="364" t="n"/>
      <c r="G59" s="364" t="n"/>
      <c r="H59" s="364" t="n"/>
      <c r="I59" s="364" t="n"/>
      <c r="J59" s="364" t="n"/>
      <c r="K59" s="364" t="n"/>
      <c r="L59" s="364" t="n"/>
      <c r="M59" s="364" t="n"/>
      <c r="N59" s="364" t="n"/>
      <c r="O59" s="364" t="n"/>
      <c r="P59" s="364" t="n"/>
      <c r="Q59" s="364" t="n"/>
      <c r="R59" s="364" t="n"/>
      <c r="S59" s="364" t="n"/>
      <c r="T59" s="364" t="n"/>
      <c r="U59" s="364" t="n"/>
      <c r="V59" s="364" t="n"/>
      <c r="W59" s="364" t="n"/>
      <c r="X59" s="364" t="n"/>
      <c r="Y59" s="364" t="n"/>
      <c r="Z59" s="364" t="n"/>
    </row>
    <row r="60">
      <c r="A60" s="364" t="n"/>
      <c r="B60" s="364" t="n"/>
      <c r="C60" s="364" t="n"/>
      <c r="D60" s="364" t="n"/>
      <c r="E60" s="364" t="n"/>
      <c r="F60" s="364" t="n"/>
      <c r="G60" s="364" t="n"/>
      <c r="H60" s="364" t="n"/>
      <c r="I60" s="364" t="n"/>
      <c r="J60" s="364" t="n"/>
      <c r="K60" s="364" t="n"/>
      <c r="L60" s="364" t="n"/>
      <c r="M60" s="364" t="n"/>
      <c r="N60" s="364" t="n"/>
      <c r="O60" s="364" t="n"/>
      <c r="P60" s="364" t="n"/>
      <c r="Q60" s="364" t="n"/>
      <c r="R60" s="364" t="n"/>
      <c r="S60" s="364" t="n"/>
      <c r="T60" s="364" t="n"/>
      <c r="U60" s="364" t="n"/>
      <c r="V60" s="364" t="n"/>
      <c r="W60" s="364" t="n"/>
      <c r="X60" s="364" t="n"/>
      <c r="Y60" s="364" t="n"/>
      <c r="Z60" s="364" t="n"/>
    </row>
    <row r="61">
      <c r="A61" s="364" t="n"/>
      <c r="B61" s="364" t="n"/>
      <c r="C61" s="364" t="n"/>
      <c r="D61" s="364" t="n"/>
      <c r="E61" s="364" t="n"/>
      <c r="F61" s="364" t="n"/>
      <c r="G61" s="364" t="n"/>
      <c r="H61" s="364" t="n"/>
      <c r="I61" s="364" t="n"/>
      <c r="J61" s="364" t="n"/>
      <c r="K61" s="364" t="n"/>
      <c r="L61" s="364" t="n"/>
      <c r="M61" s="364" t="n"/>
      <c r="N61" s="364" t="n"/>
      <c r="O61" s="364" t="n"/>
      <c r="P61" s="364" t="n"/>
      <c r="Q61" s="364" t="n"/>
      <c r="R61" s="364" t="n"/>
      <c r="S61" s="364" t="n"/>
      <c r="T61" s="364" t="n"/>
      <c r="U61" s="364" t="n"/>
      <c r="V61" s="364" t="n"/>
      <c r="W61" s="364" t="n"/>
      <c r="X61" s="364" t="n"/>
      <c r="Y61" s="364" t="n"/>
      <c r="Z61" s="364" t="n"/>
    </row>
    <row r="62">
      <c r="A62" s="364" t="n"/>
      <c r="B62" s="364" t="n"/>
      <c r="C62" s="364" t="n"/>
      <c r="D62" s="364" t="n"/>
      <c r="E62" s="364" t="n"/>
      <c r="F62" s="364" t="n"/>
      <c r="G62" s="364" t="n"/>
      <c r="H62" s="364" t="n"/>
      <c r="I62" s="364" t="n"/>
      <c r="J62" s="364" t="n"/>
      <c r="K62" s="364" t="n"/>
      <c r="L62" s="364" t="n"/>
      <c r="M62" s="364" t="n"/>
      <c r="N62" s="364" t="n"/>
      <c r="O62" s="364" t="n"/>
      <c r="P62" s="364" t="n"/>
      <c r="Q62" s="364" t="n"/>
      <c r="R62" s="364" t="n"/>
      <c r="S62" s="364" t="n"/>
      <c r="T62" s="364" t="n"/>
      <c r="U62" s="364" t="n"/>
      <c r="V62" s="364" t="n"/>
      <c r="W62" s="364" t="n"/>
      <c r="X62" s="364" t="n"/>
      <c r="Y62" s="364" t="n"/>
      <c r="Z62" s="364" t="n"/>
    </row>
    <row r="63">
      <c r="A63" s="364" t="n"/>
      <c r="B63" s="364" t="n"/>
      <c r="C63" s="364" t="n"/>
      <c r="D63" s="364" t="n"/>
      <c r="E63" s="364" t="n"/>
      <c r="F63" s="364" t="n"/>
      <c r="G63" s="364" t="n"/>
      <c r="H63" s="364" t="n"/>
      <c r="I63" s="364" t="n"/>
      <c r="J63" s="364" t="n"/>
      <c r="K63" s="364" t="n"/>
      <c r="L63" s="364" t="n"/>
      <c r="M63" s="364" t="n"/>
      <c r="N63" s="364" t="n"/>
      <c r="O63" s="364" t="n"/>
      <c r="P63" s="364" t="n"/>
      <c r="Q63" s="364" t="n"/>
      <c r="R63" s="364" t="n"/>
      <c r="S63" s="364" t="n"/>
      <c r="T63" s="364" t="n"/>
      <c r="U63" s="364" t="n"/>
      <c r="V63" s="364" t="n"/>
      <c r="W63" s="364" t="n"/>
      <c r="X63" s="364" t="n"/>
      <c r="Y63" s="364" t="n"/>
      <c r="Z63" s="364" t="n"/>
    </row>
    <row r="64">
      <c r="A64" s="364" t="n"/>
      <c r="B64" s="364" t="n"/>
      <c r="C64" s="364" t="n"/>
      <c r="D64" s="364" t="n"/>
      <c r="E64" s="364" t="n"/>
      <c r="F64" s="364" t="n"/>
      <c r="G64" s="364" t="n"/>
      <c r="H64" s="364" t="n"/>
      <c r="I64" s="364" t="n"/>
      <c r="J64" s="364" t="n"/>
      <c r="K64" s="364" t="n"/>
      <c r="L64" s="364" t="n"/>
      <c r="M64" s="364" t="n"/>
      <c r="N64" s="364" t="n"/>
      <c r="O64" s="364" t="n"/>
      <c r="P64" s="364" t="n"/>
      <c r="Q64" s="364" t="n"/>
      <c r="R64" s="364" t="n"/>
      <c r="S64" s="364" t="n"/>
      <c r="T64" s="364" t="n"/>
      <c r="U64" s="364" t="n"/>
      <c r="V64" s="364" t="n"/>
      <c r="W64" s="364" t="n"/>
      <c r="X64" s="364" t="n"/>
      <c r="Y64" s="364" t="n"/>
      <c r="Z64" s="364" t="n"/>
    </row>
    <row r="65">
      <c r="A65" s="364" t="n"/>
      <c r="B65" s="364" t="n"/>
      <c r="C65" s="364" t="n"/>
      <c r="D65" s="364" t="n"/>
      <c r="E65" s="364" t="n"/>
      <c r="F65" s="364" t="n"/>
      <c r="G65" s="364" t="n"/>
      <c r="H65" s="364" t="n"/>
      <c r="I65" s="364" t="n"/>
      <c r="J65" s="364" t="n"/>
      <c r="K65" s="364" t="n"/>
      <c r="L65" s="364" t="n"/>
      <c r="M65" s="364" t="n"/>
      <c r="N65" s="364" t="n"/>
      <c r="O65" s="364" t="n"/>
      <c r="P65" s="364" t="n"/>
      <c r="Q65" s="364" t="n"/>
      <c r="R65" s="364" t="n"/>
      <c r="S65" s="364" t="n"/>
      <c r="T65" s="364" t="n"/>
      <c r="U65" s="364" t="n"/>
      <c r="V65" s="364" t="n"/>
      <c r="W65" s="364" t="n"/>
      <c r="X65" s="364" t="n"/>
      <c r="Y65" s="364" t="n"/>
      <c r="Z65" s="364" t="n"/>
    </row>
    <row r="66">
      <c r="A66" s="364" t="n"/>
      <c r="B66" s="364" t="n"/>
      <c r="C66" s="364" t="n"/>
      <c r="D66" s="364" t="n"/>
      <c r="E66" s="364" t="n"/>
      <c r="F66" s="364" t="n"/>
      <c r="G66" s="364" t="n"/>
      <c r="H66" s="364" t="n"/>
      <c r="I66" s="364" t="n"/>
      <c r="J66" s="364" t="n"/>
      <c r="K66" s="364" t="n"/>
      <c r="L66" s="364" t="n"/>
      <c r="M66" s="364" t="n"/>
      <c r="N66" s="364" t="n"/>
      <c r="O66" s="364" t="n"/>
      <c r="P66" s="364" t="n"/>
      <c r="Q66" s="364" t="n"/>
      <c r="R66" s="364" t="n"/>
      <c r="S66" s="364" t="n"/>
      <c r="T66" s="364" t="n"/>
      <c r="U66" s="364" t="n"/>
      <c r="V66" s="364" t="n"/>
      <c r="W66" s="364" t="n"/>
      <c r="X66" s="364" t="n"/>
      <c r="Y66" s="364" t="n"/>
      <c r="Z66" s="364" t="n"/>
    </row>
    <row r="67">
      <c r="A67" s="364" t="n"/>
      <c r="B67" s="364" t="n"/>
      <c r="C67" s="364" t="n"/>
      <c r="D67" s="364" t="n"/>
      <c r="E67" s="364" t="n"/>
      <c r="F67" s="364" t="n"/>
      <c r="G67" s="364" t="n"/>
      <c r="H67" s="364" t="n"/>
      <c r="I67" s="364" t="n"/>
      <c r="J67" s="364" t="n"/>
      <c r="K67" s="364" t="n"/>
      <c r="L67" s="364" t="n"/>
      <c r="M67" s="364" t="n"/>
      <c r="N67" s="364" t="n"/>
      <c r="O67" s="364" t="n"/>
      <c r="P67" s="364" t="n"/>
      <c r="Q67" s="364" t="n"/>
      <c r="R67" s="364" t="n"/>
      <c r="S67" s="364" t="n"/>
      <c r="T67" s="364" t="n"/>
      <c r="U67" s="364" t="n"/>
      <c r="V67" s="364" t="n"/>
      <c r="W67" s="364" t="n"/>
      <c r="X67" s="364" t="n"/>
      <c r="Y67" s="364" t="n"/>
      <c r="Z67" s="364" t="n"/>
    </row>
    <row r="68">
      <c r="A68" s="364" t="n"/>
      <c r="B68" s="364" t="n"/>
      <c r="C68" s="364" t="n"/>
      <c r="D68" s="364" t="n"/>
      <c r="E68" s="364" t="n"/>
      <c r="F68" s="364" t="n"/>
      <c r="G68" s="364" t="n"/>
      <c r="H68" s="364" t="n"/>
      <c r="I68" s="364" t="n"/>
      <c r="J68" s="364" t="n"/>
      <c r="K68" s="364" t="n"/>
      <c r="L68" s="364" t="n"/>
      <c r="M68" s="364" t="n"/>
      <c r="N68" s="364" t="n"/>
      <c r="O68" s="364" t="n"/>
      <c r="P68" s="364" t="n"/>
      <c r="Q68" s="364" t="n"/>
      <c r="R68" s="364" t="n"/>
      <c r="S68" s="364" t="n"/>
      <c r="T68" s="364" t="n"/>
      <c r="U68" s="364" t="n"/>
      <c r="V68" s="364" t="n"/>
      <c r="W68" s="364" t="n"/>
      <c r="X68" s="364" t="n"/>
      <c r="Y68" s="364" t="n"/>
      <c r="Z68" s="364" t="n"/>
    </row>
    <row r="69">
      <c r="A69" s="364" t="n"/>
      <c r="B69" s="364" t="n"/>
      <c r="C69" s="364" t="n"/>
      <c r="D69" s="364" t="n"/>
      <c r="E69" s="364" t="n"/>
      <c r="F69" s="364" t="n"/>
      <c r="G69" s="364" t="n"/>
      <c r="H69" s="364" t="n"/>
      <c r="I69" s="364" t="n"/>
      <c r="J69" s="364" t="n"/>
      <c r="K69" s="364" t="n"/>
      <c r="L69" s="364" t="n"/>
      <c r="M69" s="364" t="n"/>
      <c r="N69" s="364" t="n"/>
      <c r="O69" s="364" t="n"/>
      <c r="P69" s="364" t="n"/>
      <c r="Q69" s="364" t="n"/>
      <c r="R69" s="364" t="n"/>
      <c r="S69" s="364" t="n"/>
      <c r="T69" s="364" t="n"/>
      <c r="U69" s="364" t="n"/>
      <c r="V69" s="364" t="n"/>
      <c r="W69" s="364" t="n"/>
      <c r="X69" s="364" t="n"/>
      <c r="Y69" s="364" t="n"/>
      <c r="Z69" s="364" t="n"/>
    </row>
    <row r="70">
      <c r="A70" s="364" t="n"/>
      <c r="B70" s="364" t="n"/>
      <c r="C70" s="364" t="n"/>
      <c r="D70" s="364" t="n"/>
      <c r="E70" s="364" t="n"/>
      <c r="F70" s="364" t="n"/>
      <c r="G70" s="364" t="n"/>
      <c r="H70" s="364" t="n"/>
      <c r="I70" s="364" t="n"/>
      <c r="J70" s="364" t="n"/>
      <c r="K70" s="364" t="n"/>
      <c r="L70" s="364" t="n"/>
      <c r="M70" s="364" t="n"/>
      <c r="N70" s="364" t="n"/>
      <c r="O70" s="364" t="n"/>
      <c r="P70" s="364" t="n"/>
      <c r="Q70" s="364" t="n"/>
      <c r="R70" s="364" t="n"/>
      <c r="S70" s="364" t="n"/>
      <c r="T70" s="364" t="n"/>
      <c r="U70" s="364" t="n"/>
      <c r="V70" s="364" t="n"/>
      <c r="W70" s="364" t="n"/>
      <c r="X70" s="364" t="n"/>
      <c r="Y70" s="364" t="n"/>
      <c r="Z70" s="364" t="n"/>
    </row>
    <row r="71">
      <c r="A71" s="364" t="n"/>
      <c r="B71" s="364" t="n"/>
      <c r="C71" s="364" t="n"/>
      <c r="D71" s="364" t="n"/>
      <c r="E71" s="364" t="n"/>
      <c r="F71" s="364" t="n"/>
      <c r="G71" s="364" t="n"/>
      <c r="H71" s="364" t="n"/>
      <c r="I71" s="364" t="n"/>
      <c r="J71" s="364" t="n"/>
      <c r="K71" s="364" t="n"/>
      <c r="L71" s="364" t="n"/>
      <c r="M71" s="364" t="n"/>
      <c r="N71" s="364" t="n"/>
      <c r="O71" s="364" t="n"/>
      <c r="P71" s="364" t="n"/>
      <c r="Q71" s="364" t="n"/>
      <c r="R71" s="364" t="n"/>
      <c r="S71" s="364" t="n"/>
      <c r="T71" s="364" t="n"/>
      <c r="U71" s="364" t="n"/>
      <c r="V71" s="364" t="n"/>
      <c r="W71" s="364" t="n"/>
      <c r="X71" s="364" t="n"/>
      <c r="Y71" s="364" t="n"/>
      <c r="Z71" s="364" t="n"/>
    </row>
    <row r="72">
      <c r="A72" s="364" t="n"/>
      <c r="B72" s="364" t="n"/>
      <c r="C72" s="364" t="n"/>
      <c r="D72" s="364" t="n"/>
      <c r="E72" s="364" t="n"/>
      <c r="F72" s="364" t="n"/>
      <c r="G72" s="364" t="n"/>
      <c r="H72" s="364" t="n"/>
      <c r="I72" s="364" t="n"/>
      <c r="J72" s="364" t="n"/>
      <c r="K72" s="364" t="n"/>
      <c r="L72" s="364" t="n"/>
      <c r="M72" s="364" t="n"/>
      <c r="N72" s="364" t="n"/>
      <c r="O72" s="364" t="n"/>
      <c r="P72" s="364" t="n"/>
      <c r="Q72" s="364" t="n"/>
      <c r="R72" s="364" t="n"/>
      <c r="S72" s="364" t="n"/>
      <c r="T72" s="364" t="n"/>
      <c r="U72" s="364" t="n"/>
      <c r="V72" s="364" t="n"/>
      <c r="W72" s="364" t="n"/>
      <c r="X72" s="364" t="n"/>
      <c r="Y72" s="364" t="n"/>
      <c r="Z72" s="364" t="n"/>
    </row>
    <row r="73">
      <c r="A73" s="364" t="n"/>
      <c r="B73" s="364" t="n"/>
      <c r="C73" s="364" t="n"/>
      <c r="D73" s="364" t="n"/>
      <c r="E73" s="364" t="n"/>
      <c r="F73" s="364" t="n"/>
      <c r="G73" s="364" t="n"/>
      <c r="H73" s="364" t="n"/>
      <c r="I73" s="364" t="n"/>
      <c r="J73" s="364" t="n"/>
      <c r="K73" s="364" t="n"/>
      <c r="L73" s="364" t="n"/>
      <c r="M73" s="364" t="n"/>
      <c r="N73" s="364" t="n"/>
      <c r="O73" s="364" t="n"/>
      <c r="P73" s="364" t="n"/>
      <c r="Q73" s="364" t="n"/>
      <c r="R73" s="364" t="n"/>
      <c r="S73" s="364" t="n"/>
      <c r="T73" s="364" t="n"/>
      <c r="U73" s="364" t="n"/>
      <c r="V73" s="364" t="n"/>
      <c r="W73" s="364" t="n"/>
      <c r="X73" s="364" t="n"/>
      <c r="Y73" s="364" t="n"/>
      <c r="Z73" s="364" t="n"/>
    </row>
    <row r="74">
      <c r="A74" s="364" t="n"/>
      <c r="B74" s="364" t="n"/>
      <c r="C74" s="364" t="n"/>
      <c r="D74" s="364" t="n"/>
      <c r="E74" s="364" t="n"/>
      <c r="F74" s="364" t="n"/>
      <c r="G74" s="364" t="n"/>
      <c r="H74" s="364" t="n"/>
      <c r="I74" s="364" t="n"/>
      <c r="J74" s="364" t="n"/>
      <c r="K74" s="364" t="n"/>
      <c r="L74" s="364" t="n"/>
      <c r="M74" s="364" t="n"/>
      <c r="N74" s="364" t="n"/>
      <c r="O74" s="364" t="n"/>
      <c r="P74" s="364" t="n"/>
      <c r="Q74" s="364" t="n"/>
      <c r="R74" s="364" t="n"/>
      <c r="S74" s="364" t="n"/>
      <c r="T74" s="364" t="n"/>
      <c r="U74" s="364" t="n"/>
      <c r="V74" s="364" t="n"/>
      <c r="W74" s="364" t="n"/>
      <c r="X74" s="364" t="n"/>
      <c r="Y74" s="364" t="n"/>
      <c r="Z74" s="364" t="n"/>
    </row>
    <row r="75">
      <c r="A75" s="364" t="n"/>
      <c r="B75" s="364" t="n"/>
      <c r="C75" s="364" t="n"/>
      <c r="D75" s="364" t="n"/>
      <c r="E75" s="364" t="n"/>
      <c r="F75" s="364" t="n"/>
      <c r="G75" s="364" t="n"/>
      <c r="H75" s="364" t="n"/>
      <c r="I75" s="364" t="n"/>
      <c r="J75" s="364" t="n"/>
      <c r="K75" s="364" t="n"/>
      <c r="L75" s="364" t="n"/>
      <c r="M75" s="364" t="n"/>
      <c r="N75" s="364" t="n"/>
      <c r="O75" s="364" t="n"/>
      <c r="P75" s="364" t="n"/>
      <c r="Q75" s="364" t="n"/>
      <c r="R75" s="364" t="n"/>
      <c r="S75" s="364" t="n"/>
      <c r="T75" s="364" t="n"/>
      <c r="U75" s="364" t="n"/>
      <c r="V75" s="364" t="n"/>
      <c r="W75" s="364" t="n"/>
      <c r="X75" s="364" t="n"/>
      <c r="Y75" s="364" t="n"/>
      <c r="Z75" s="364" t="n"/>
    </row>
    <row r="76">
      <c r="A76" s="364" t="n"/>
      <c r="B76" s="364" t="n"/>
      <c r="C76" s="364" t="n"/>
      <c r="D76" s="364" t="n"/>
      <c r="E76" s="364" t="n"/>
      <c r="F76" s="364" t="n"/>
      <c r="G76" s="364" t="n"/>
      <c r="H76" s="364" t="n"/>
      <c r="I76" s="364" t="n"/>
      <c r="J76" s="364" t="n"/>
      <c r="K76" s="364" t="n"/>
      <c r="L76" s="364" t="n"/>
      <c r="M76" s="364" t="n"/>
      <c r="N76" s="364" t="n"/>
      <c r="O76" s="364" t="n"/>
      <c r="P76" s="364" t="n"/>
      <c r="Q76" s="364" t="n"/>
      <c r="R76" s="364" t="n"/>
      <c r="S76" s="364" t="n"/>
      <c r="T76" s="364" t="n"/>
      <c r="U76" s="364" t="n"/>
      <c r="V76" s="364" t="n"/>
      <c r="W76" s="364" t="n"/>
      <c r="X76" s="364" t="n"/>
      <c r="Y76" s="364" t="n"/>
      <c r="Z76" s="364" t="n"/>
    </row>
    <row r="77">
      <c r="A77" s="364" t="n"/>
      <c r="B77" s="364" t="n"/>
      <c r="C77" s="364" t="n"/>
      <c r="D77" s="364" t="n"/>
      <c r="E77" s="364" t="n"/>
      <c r="F77" s="364" t="n"/>
      <c r="G77" s="364" t="n"/>
      <c r="H77" s="364" t="n"/>
      <c r="I77" s="364" t="n"/>
      <c r="J77" s="364" t="n"/>
      <c r="K77" s="364" t="n"/>
      <c r="L77" s="364" t="n"/>
      <c r="M77" s="364" t="n"/>
      <c r="N77" s="364" t="n"/>
      <c r="O77" s="364" t="n"/>
      <c r="P77" s="364" t="n"/>
      <c r="Q77" s="364" t="n"/>
      <c r="R77" s="364" t="n"/>
      <c r="S77" s="364" t="n"/>
      <c r="T77" s="364" t="n"/>
      <c r="U77" s="364" t="n"/>
      <c r="V77" s="364" t="n"/>
      <c r="W77" s="364" t="n"/>
      <c r="X77" s="364" t="n"/>
      <c r="Y77" s="364" t="n"/>
      <c r="Z77" s="364" t="n"/>
    </row>
    <row r="78">
      <c r="A78" s="364" t="n"/>
      <c r="B78" s="364" t="n"/>
      <c r="C78" s="364" t="n"/>
      <c r="D78" s="364" t="n"/>
      <c r="E78" s="364" t="n"/>
      <c r="F78" s="364" t="n"/>
      <c r="G78" s="364" t="n"/>
      <c r="H78" s="364" t="n"/>
      <c r="I78" s="364" t="n"/>
      <c r="J78" s="364" t="n"/>
      <c r="K78" s="364" t="n"/>
      <c r="L78" s="364" t="n"/>
      <c r="M78" s="364" t="n"/>
      <c r="N78" s="364" t="n"/>
      <c r="O78" s="364" t="n"/>
      <c r="P78" s="364" t="n"/>
      <c r="Q78" s="364" t="n"/>
      <c r="R78" s="364" t="n"/>
      <c r="S78" s="364" t="n"/>
      <c r="T78" s="364" t="n"/>
      <c r="U78" s="364" t="n"/>
      <c r="V78" s="364" t="n"/>
      <c r="W78" s="364" t="n"/>
      <c r="X78" s="364" t="n"/>
      <c r="Y78" s="364" t="n"/>
      <c r="Z78" s="364" t="n"/>
    </row>
    <row r="79">
      <c r="A79" s="364" t="n"/>
      <c r="B79" s="364" t="n"/>
      <c r="C79" s="364" t="n"/>
      <c r="D79" s="364" t="n"/>
      <c r="E79" s="364" t="n"/>
      <c r="F79" s="364" t="n"/>
      <c r="G79" s="364" t="n"/>
      <c r="H79" s="364" t="n"/>
      <c r="I79" s="364" t="n"/>
      <c r="J79" s="364" t="n"/>
      <c r="K79" s="364" t="n"/>
      <c r="L79" s="364" t="n"/>
      <c r="M79" s="364" t="n"/>
      <c r="N79" s="364" t="n"/>
      <c r="O79" s="364" t="n"/>
      <c r="P79" s="364" t="n"/>
      <c r="Q79" s="364" t="n"/>
      <c r="R79" s="364" t="n"/>
      <c r="S79" s="364" t="n"/>
      <c r="T79" s="364" t="n"/>
      <c r="U79" s="364" t="n"/>
      <c r="V79" s="364" t="n"/>
      <c r="W79" s="364" t="n"/>
      <c r="X79" s="364" t="n"/>
      <c r="Y79" s="364" t="n"/>
      <c r="Z79" s="364" t="n"/>
    </row>
    <row r="80">
      <c r="A80" s="364" t="n"/>
      <c r="B80" s="364" t="n"/>
      <c r="C80" s="364" t="n"/>
      <c r="D80" s="364" t="n"/>
      <c r="E80" s="364" t="n"/>
      <c r="F80" s="364" t="n"/>
      <c r="G80" s="364" t="n"/>
      <c r="H80" s="364" t="n"/>
      <c r="I80" s="364" t="n"/>
      <c r="J80" s="364" t="n"/>
      <c r="K80" s="364" t="n"/>
      <c r="L80" s="364" t="n"/>
      <c r="M80" s="364" t="n"/>
      <c r="N80" s="364" t="n"/>
      <c r="O80" s="364" t="n"/>
      <c r="P80" s="364" t="n"/>
      <c r="Q80" s="364" t="n"/>
      <c r="R80" s="364" t="n"/>
      <c r="S80" s="364" t="n"/>
      <c r="T80" s="364" t="n"/>
      <c r="U80" s="364" t="n"/>
      <c r="V80" s="364" t="n"/>
      <c r="W80" s="364" t="n"/>
      <c r="X80" s="364" t="n"/>
      <c r="Y80" s="364" t="n"/>
      <c r="Z80" s="364" t="n"/>
    </row>
    <row r="81">
      <c r="A81" s="364" t="n"/>
      <c r="B81" s="364" t="n"/>
      <c r="C81" s="364" t="n"/>
      <c r="D81" s="364" t="n"/>
      <c r="E81" s="364" t="n"/>
      <c r="F81" s="364" t="n"/>
      <c r="G81" s="364" t="n"/>
      <c r="H81" s="364" t="n"/>
      <c r="I81" s="364" t="n"/>
      <c r="J81" s="364" t="n"/>
      <c r="K81" s="364" t="n"/>
      <c r="L81" s="364" t="n"/>
      <c r="M81" s="364" t="n"/>
      <c r="N81" s="364" t="n"/>
      <c r="O81" s="364" t="n"/>
      <c r="P81" s="364" t="n"/>
      <c r="Q81" s="364" t="n"/>
      <c r="R81" s="364" t="n"/>
      <c r="S81" s="364" t="n"/>
      <c r="T81" s="364" t="n"/>
      <c r="U81" s="364" t="n"/>
      <c r="V81" s="364" t="n"/>
      <c r="W81" s="364" t="n"/>
      <c r="X81" s="364" t="n"/>
      <c r="Y81" s="364" t="n"/>
      <c r="Z81" s="364" t="n"/>
    </row>
    <row r="82">
      <c r="A82" s="364" t="n"/>
      <c r="B82" s="364" t="n"/>
      <c r="C82" s="364" t="n"/>
      <c r="D82" s="364" t="n"/>
      <c r="E82" s="364" t="n"/>
      <c r="F82" s="364" t="n"/>
      <c r="G82" s="364" t="n"/>
      <c r="H82" s="364" t="n"/>
      <c r="I82" s="364" t="n"/>
      <c r="J82" s="364" t="n"/>
      <c r="K82" s="364" t="n"/>
      <c r="L82" s="364" t="n"/>
      <c r="M82" s="364" t="n"/>
      <c r="N82" s="364" t="n"/>
      <c r="O82" s="364" t="n"/>
      <c r="P82" s="364" t="n"/>
      <c r="Q82" s="364" t="n"/>
      <c r="R82" s="364" t="n"/>
      <c r="S82" s="364" t="n"/>
      <c r="T82" s="364" t="n"/>
      <c r="U82" s="364" t="n"/>
      <c r="V82" s="364" t="n"/>
      <c r="W82" s="364" t="n"/>
      <c r="X82" s="364" t="n"/>
      <c r="Y82" s="364" t="n"/>
      <c r="Z82" s="364" t="n"/>
    </row>
    <row r="83">
      <c r="A83" s="364" t="n"/>
      <c r="B83" s="364" t="n"/>
      <c r="C83" s="364" t="n"/>
      <c r="D83" s="364" t="n"/>
      <c r="E83" s="364" t="n"/>
      <c r="F83" s="364" t="n"/>
      <c r="G83" s="364" t="n"/>
      <c r="H83" s="364" t="n"/>
      <c r="I83" s="364" t="n"/>
      <c r="J83" s="364" t="n"/>
      <c r="K83" s="364" t="n"/>
      <c r="L83" s="364" t="n"/>
      <c r="M83" s="364" t="n"/>
      <c r="N83" s="364" t="n"/>
      <c r="O83" s="364" t="n"/>
      <c r="P83" s="364" t="n"/>
      <c r="Q83" s="364" t="n"/>
      <c r="R83" s="364" t="n"/>
      <c r="S83" s="364" t="n"/>
      <c r="T83" s="364" t="n"/>
      <c r="U83" s="364" t="n"/>
      <c r="V83" s="364" t="n"/>
      <c r="W83" s="364" t="n"/>
      <c r="X83" s="364" t="n"/>
      <c r="Y83" s="364" t="n"/>
      <c r="Z83" s="364" t="n"/>
    </row>
    <row r="84">
      <c r="A84" s="364" t="n"/>
      <c r="B84" s="364" t="n"/>
      <c r="C84" s="364" t="n"/>
      <c r="D84" s="364" t="n"/>
      <c r="E84" s="364" t="n"/>
      <c r="F84" s="364" t="n"/>
      <c r="G84" s="364" t="n"/>
      <c r="H84" s="364" t="n"/>
      <c r="I84" s="364" t="n"/>
      <c r="J84" s="364" t="n"/>
      <c r="K84" s="364" t="n"/>
      <c r="L84" s="364" t="n"/>
      <c r="M84" s="364" t="n"/>
      <c r="N84" s="364" t="n"/>
      <c r="O84" s="364" t="n"/>
      <c r="P84" s="364" t="n"/>
      <c r="Q84" s="364" t="n"/>
      <c r="R84" s="364" t="n"/>
      <c r="S84" s="364" t="n"/>
      <c r="T84" s="364" t="n"/>
      <c r="U84" s="364" t="n"/>
      <c r="V84" s="364" t="n"/>
      <c r="W84" s="364" t="n"/>
      <c r="X84" s="364" t="n"/>
      <c r="Y84" s="364" t="n"/>
      <c r="Z84" s="364" t="n"/>
    </row>
    <row r="85">
      <c r="A85" s="364" t="n"/>
      <c r="B85" s="364" t="n"/>
      <c r="C85" s="364" t="n"/>
      <c r="D85" s="364" t="n"/>
      <c r="E85" s="364" t="n"/>
      <c r="F85" s="364" t="n"/>
      <c r="G85" s="364" t="n"/>
      <c r="H85" s="364" t="n"/>
      <c r="I85" s="364" t="n"/>
      <c r="J85" s="364" t="n"/>
      <c r="K85" s="364" t="n"/>
      <c r="L85" s="364" t="n"/>
      <c r="M85" s="364" t="n"/>
      <c r="N85" s="364" t="n"/>
      <c r="O85" s="364" t="n"/>
      <c r="P85" s="364" t="n"/>
      <c r="Q85" s="364" t="n"/>
      <c r="R85" s="364" t="n"/>
      <c r="S85" s="364" t="n"/>
      <c r="T85" s="364" t="n"/>
      <c r="U85" s="364" t="n"/>
      <c r="V85" s="364" t="n"/>
      <c r="W85" s="364" t="n"/>
      <c r="X85" s="364" t="n"/>
      <c r="Y85" s="364" t="n"/>
      <c r="Z85" s="364" t="n"/>
    </row>
    <row r="86">
      <c r="A86" s="364" t="n"/>
      <c r="B86" s="364" t="n"/>
      <c r="C86" s="364" t="n"/>
      <c r="D86" s="364" t="n"/>
      <c r="E86" s="364" t="n"/>
      <c r="F86" s="364" t="n"/>
      <c r="G86" s="364" t="n"/>
      <c r="H86" s="364" t="n"/>
      <c r="I86" s="364" t="n"/>
      <c r="J86" s="364" t="n"/>
      <c r="K86" s="364" t="n"/>
      <c r="L86" s="364" t="n"/>
      <c r="M86" s="364" t="n"/>
      <c r="N86" s="364" t="n"/>
      <c r="O86" s="364" t="n"/>
      <c r="P86" s="364" t="n"/>
      <c r="Q86" s="364" t="n"/>
      <c r="R86" s="364" t="n"/>
      <c r="S86" s="364" t="n"/>
      <c r="T86" s="364" t="n"/>
      <c r="U86" s="364" t="n"/>
      <c r="V86" s="364" t="n"/>
      <c r="W86" s="364" t="n"/>
      <c r="X86" s="364" t="n"/>
      <c r="Y86" s="364" t="n"/>
      <c r="Z86" s="364" t="n"/>
    </row>
    <row r="87">
      <c r="A87" s="364" t="n"/>
      <c r="B87" s="364" t="n"/>
      <c r="C87" s="364" t="n"/>
      <c r="D87" s="364" t="n"/>
      <c r="E87" s="364" t="n"/>
      <c r="F87" s="364" t="n"/>
      <c r="G87" s="364" t="n"/>
      <c r="H87" s="364" t="n"/>
      <c r="I87" s="364" t="n"/>
      <c r="J87" s="364" t="n"/>
      <c r="K87" s="364" t="n"/>
      <c r="L87" s="364" t="n"/>
      <c r="M87" s="364" t="n"/>
      <c r="N87" s="364" t="n"/>
      <c r="O87" s="364" t="n"/>
      <c r="P87" s="364" t="n"/>
      <c r="Q87" s="364" t="n"/>
      <c r="R87" s="364" t="n"/>
      <c r="S87" s="364" t="n"/>
      <c r="T87" s="364" t="n"/>
      <c r="U87" s="364" t="n"/>
      <c r="V87" s="364" t="n"/>
      <c r="W87" s="364" t="n"/>
      <c r="X87" s="364" t="n"/>
      <c r="Y87" s="364" t="n"/>
      <c r="Z87" s="364" t="n"/>
    </row>
    <row r="88">
      <c r="A88" s="364" t="n"/>
      <c r="B88" s="364" t="n"/>
      <c r="C88" s="364" t="n"/>
      <c r="D88" s="364" t="n"/>
      <c r="E88" s="364" t="n"/>
      <c r="F88" s="364" t="n"/>
      <c r="G88" s="364" t="n"/>
      <c r="H88" s="364" t="n"/>
      <c r="I88" s="364" t="n"/>
      <c r="J88" s="364" t="n"/>
      <c r="K88" s="364" t="n"/>
      <c r="L88" s="364" t="n"/>
      <c r="M88" s="364" t="n"/>
      <c r="N88" s="364" t="n"/>
      <c r="O88" s="364" t="n"/>
      <c r="P88" s="364" t="n"/>
      <c r="Q88" s="364" t="n"/>
      <c r="R88" s="364" t="n"/>
      <c r="S88" s="364" t="n"/>
      <c r="T88" s="364" t="n"/>
      <c r="U88" s="364" t="n"/>
      <c r="V88" s="364" t="n"/>
      <c r="W88" s="364" t="n"/>
      <c r="X88" s="364" t="n"/>
      <c r="Y88" s="364" t="n"/>
      <c r="Z88" s="364" t="n"/>
    </row>
    <row r="89">
      <c r="A89" s="364" t="n"/>
      <c r="B89" s="364" t="n"/>
      <c r="C89" s="364" t="n"/>
      <c r="D89" s="364" t="n"/>
      <c r="E89" s="364" t="n"/>
      <c r="F89" s="364" t="n"/>
      <c r="G89" s="364" t="n"/>
      <c r="H89" s="364" t="n"/>
      <c r="I89" s="364" t="n"/>
      <c r="J89" s="364" t="n"/>
      <c r="K89" s="364" t="n"/>
      <c r="L89" s="364" t="n"/>
      <c r="M89" s="364" t="n"/>
      <c r="N89" s="364" t="n"/>
      <c r="O89" s="364" t="n"/>
      <c r="P89" s="364" t="n"/>
      <c r="Q89" s="364" t="n"/>
      <c r="R89" s="364" t="n"/>
      <c r="S89" s="364" t="n"/>
      <c r="T89" s="364" t="n"/>
      <c r="U89" s="364" t="n"/>
      <c r="V89" s="364" t="n"/>
      <c r="W89" s="364" t="n"/>
      <c r="X89" s="364" t="n"/>
      <c r="Y89" s="364" t="n"/>
      <c r="Z89" s="364" t="n"/>
    </row>
    <row r="90">
      <c r="A90" s="364" t="n"/>
      <c r="B90" s="364" t="n"/>
      <c r="C90" s="364" t="n"/>
      <c r="D90" s="364" t="n"/>
      <c r="E90" s="364" t="n"/>
      <c r="F90" s="364" t="n"/>
      <c r="G90" s="364" t="n"/>
      <c r="H90" s="364" t="n"/>
      <c r="I90" s="364" t="n"/>
      <c r="J90" s="364" t="n"/>
      <c r="K90" s="364" t="n"/>
      <c r="L90" s="364" t="n"/>
      <c r="M90" s="364" t="n"/>
      <c r="N90" s="364" t="n"/>
      <c r="O90" s="364" t="n"/>
      <c r="P90" s="364" t="n"/>
      <c r="Q90" s="364" t="n"/>
      <c r="R90" s="364" t="n"/>
      <c r="S90" s="364" t="n"/>
      <c r="T90" s="364" t="n"/>
      <c r="U90" s="364" t="n"/>
      <c r="V90" s="364" t="n"/>
      <c r="W90" s="364" t="n"/>
      <c r="X90" s="364" t="n"/>
      <c r="Y90" s="364" t="n"/>
      <c r="Z90" s="364" t="n"/>
    </row>
    <row r="91">
      <c r="A91" s="364" t="n"/>
      <c r="B91" s="364" t="n"/>
      <c r="C91" s="364" t="n"/>
      <c r="D91" s="364" t="n"/>
      <c r="E91" s="364" t="n"/>
      <c r="F91" s="364" t="n"/>
      <c r="G91" s="364" t="n"/>
      <c r="H91" s="364" t="n"/>
      <c r="I91" s="364" t="n"/>
      <c r="J91" s="364" t="n"/>
      <c r="K91" s="364" t="n"/>
      <c r="L91" s="364" t="n"/>
      <c r="M91" s="364" t="n"/>
      <c r="N91" s="364" t="n"/>
      <c r="O91" s="364" t="n"/>
      <c r="P91" s="364" t="n"/>
      <c r="Q91" s="364" t="n"/>
      <c r="R91" s="364" t="n"/>
      <c r="S91" s="364" t="n"/>
      <c r="T91" s="364" t="n"/>
      <c r="U91" s="364" t="n"/>
      <c r="V91" s="364" t="n"/>
      <c r="W91" s="364" t="n"/>
      <c r="X91" s="364" t="n"/>
      <c r="Y91" s="364" t="n"/>
      <c r="Z91" s="364" t="n"/>
    </row>
    <row r="92">
      <c r="A92" s="364" t="n"/>
      <c r="B92" s="364" t="n"/>
      <c r="C92" s="364" t="n"/>
      <c r="D92" s="364" t="n"/>
      <c r="E92" s="364" t="n"/>
      <c r="F92" s="364" t="n"/>
      <c r="G92" s="364" t="n"/>
      <c r="H92" s="364" t="n"/>
      <c r="I92" s="364" t="n"/>
      <c r="J92" s="364" t="n"/>
      <c r="K92" s="364" t="n"/>
      <c r="L92" s="364" t="n"/>
      <c r="M92" s="364" t="n"/>
      <c r="N92" s="364" t="n"/>
      <c r="O92" s="364" t="n"/>
      <c r="P92" s="364" t="n"/>
      <c r="Q92" s="364" t="n"/>
      <c r="R92" s="364" t="n"/>
      <c r="S92" s="364" t="n"/>
      <c r="T92" s="364" t="n"/>
      <c r="U92" s="364" t="n"/>
      <c r="V92" s="364" t="n"/>
      <c r="W92" s="364" t="n"/>
      <c r="X92" s="364" t="n"/>
      <c r="Y92" s="364" t="n"/>
      <c r="Z92" s="364" t="n"/>
    </row>
    <row r="93">
      <c r="A93" s="364" t="n"/>
      <c r="B93" s="364" t="n"/>
      <c r="C93" s="364" t="n"/>
      <c r="D93" s="364" t="n"/>
      <c r="E93" s="364" t="n"/>
      <c r="F93" s="364" t="n"/>
      <c r="G93" s="364" t="n"/>
      <c r="H93" s="364" t="n"/>
      <c r="I93" s="364" t="n"/>
      <c r="J93" s="364" t="n"/>
      <c r="K93" s="364" t="n"/>
      <c r="L93" s="364" t="n"/>
      <c r="M93" s="364" t="n"/>
      <c r="N93" s="364" t="n"/>
      <c r="O93" s="364" t="n"/>
      <c r="P93" s="364" t="n"/>
      <c r="Q93" s="364" t="n"/>
      <c r="R93" s="364" t="n"/>
      <c r="S93" s="364" t="n"/>
      <c r="T93" s="364" t="n"/>
      <c r="U93" s="364" t="n"/>
      <c r="V93" s="364" t="n"/>
      <c r="W93" s="364" t="n"/>
      <c r="X93" s="364" t="n"/>
      <c r="Y93" s="364" t="n"/>
      <c r="Z93" s="364" t="n"/>
    </row>
    <row r="94">
      <c r="A94" s="364" t="n"/>
      <c r="B94" s="364" t="n"/>
      <c r="C94" s="364" t="n"/>
      <c r="D94" s="364" t="n"/>
      <c r="E94" s="364" t="n"/>
      <c r="F94" s="364" t="n"/>
      <c r="G94" s="364" t="n"/>
      <c r="H94" s="364" t="n"/>
      <c r="I94" s="364" t="n"/>
      <c r="J94" s="364" t="n"/>
      <c r="K94" s="364" t="n"/>
      <c r="L94" s="364" t="n"/>
      <c r="M94" s="364" t="n"/>
      <c r="N94" s="364" t="n"/>
      <c r="O94" s="364" t="n"/>
      <c r="P94" s="364" t="n"/>
      <c r="Q94" s="364" t="n"/>
      <c r="R94" s="364" t="n"/>
      <c r="S94" s="364" t="n"/>
      <c r="T94" s="364" t="n"/>
      <c r="U94" s="364" t="n"/>
      <c r="V94" s="364" t="n"/>
      <c r="W94" s="364" t="n"/>
      <c r="X94" s="364" t="n"/>
      <c r="Y94" s="364" t="n"/>
      <c r="Z94" s="364" t="n"/>
    </row>
    <row r="95">
      <c r="A95" s="364" t="n"/>
      <c r="B95" s="364" t="n"/>
      <c r="C95" s="364" t="n"/>
      <c r="D95" s="364" t="n"/>
      <c r="E95" s="364" t="n"/>
      <c r="F95" s="364" t="n"/>
      <c r="G95" s="364" t="n"/>
      <c r="H95" s="364" t="n"/>
      <c r="I95" s="364" t="n"/>
      <c r="J95" s="364" t="n"/>
      <c r="K95" s="364" t="n"/>
      <c r="L95" s="364" t="n"/>
      <c r="M95" s="364" t="n"/>
      <c r="N95" s="364" t="n"/>
      <c r="O95" s="364" t="n"/>
      <c r="P95" s="364" t="n"/>
      <c r="Q95" s="364" t="n"/>
      <c r="R95" s="364" t="n"/>
      <c r="S95" s="364" t="n"/>
      <c r="T95" s="364" t="n"/>
      <c r="U95" s="364" t="n"/>
      <c r="V95" s="364" t="n"/>
      <c r="W95" s="364" t="n"/>
      <c r="X95" s="364" t="n"/>
      <c r="Y95" s="364" t="n"/>
      <c r="Z95" s="364" t="n"/>
    </row>
    <row r="96">
      <c r="A96" s="364" t="n"/>
      <c r="B96" s="364" t="n"/>
      <c r="C96" s="364" t="n"/>
      <c r="D96" s="364" t="n"/>
      <c r="E96" s="364" t="n"/>
      <c r="F96" s="364" t="n"/>
      <c r="G96" s="364" t="n"/>
      <c r="H96" s="364" t="n"/>
      <c r="I96" s="364" t="n"/>
      <c r="J96" s="364" t="n"/>
      <c r="K96" s="364" t="n"/>
      <c r="L96" s="364" t="n"/>
      <c r="M96" s="364" t="n"/>
      <c r="N96" s="364" t="n"/>
      <c r="O96" s="364" t="n"/>
      <c r="P96" s="364" t="n"/>
      <c r="Q96" s="364" t="n"/>
      <c r="R96" s="364" t="n"/>
      <c r="S96" s="364" t="n"/>
      <c r="T96" s="364" t="n"/>
      <c r="U96" s="364" t="n"/>
      <c r="V96" s="364" t="n"/>
      <c r="W96" s="364" t="n"/>
      <c r="X96" s="364" t="n"/>
      <c r="Y96" s="364" t="n"/>
      <c r="Z96" s="364" t="n"/>
    </row>
    <row r="97">
      <c r="A97" s="364" t="n"/>
      <c r="B97" s="364" t="n"/>
      <c r="C97" s="364" t="n"/>
      <c r="D97" s="364" t="n"/>
      <c r="E97" s="364" t="n"/>
      <c r="F97" s="364" t="n"/>
      <c r="G97" s="364" t="n"/>
      <c r="H97" s="364" t="n"/>
      <c r="I97" s="364" t="n"/>
      <c r="J97" s="364" t="n"/>
      <c r="K97" s="364" t="n"/>
      <c r="L97" s="364" t="n"/>
      <c r="M97" s="364" t="n"/>
      <c r="N97" s="364" t="n"/>
      <c r="O97" s="364" t="n"/>
      <c r="P97" s="364" t="n"/>
      <c r="Q97" s="364" t="n"/>
      <c r="R97" s="364" t="n"/>
      <c r="S97" s="364" t="n"/>
      <c r="T97" s="364" t="n"/>
      <c r="U97" s="364" t="n"/>
      <c r="V97" s="364" t="n"/>
      <c r="W97" s="364" t="n"/>
      <c r="X97" s="364" t="n"/>
      <c r="Y97" s="364" t="n"/>
      <c r="Z97" s="364" t="n"/>
    </row>
    <row r="98">
      <c r="A98" s="364" t="n"/>
      <c r="B98" s="364" t="n"/>
      <c r="C98" s="364" t="n"/>
      <c r="D98" s="364" t="n"/>
      <c r="E98" s="364" t="n"/>
      <c r="F98" s="364" t="n"/>
      <c r="G98" s="364" t="n"/>
      <c r="H98" s="364" t="n"/>
      <c r="I98" s="364" t="n"/>
      <c r="J98" s="364" t="n"/>
      <c r="K98" s="364" t="n"/>
      <c r="L98" s="364" t="n"/>
      <c r="M98" s="364" t="n"/>
      <c r="N98" s="364" t="n"/>
      <c r="O98" s="364" t="n"/>
      <c r="P98" s="364" t="n"/>
      <c r="Q98" s="364" t="n"/>
      <c r="R98" s="364" t="n"/>
      <c r="S98" s="364" t="n"/>
      <c r="T98" s="364" t="n"/>
      <c r="U98" s="364" t="n"/>
      <c r="V98" s="364" t="n"/>
      <c r="W98" s="364" t="n"/>
      <c r="X98" s="364" t="n"/>
      <c r="Y98" s="364" t="n"/>
      <c r="Z98" s="364" t="n"/>
    </row>
    <row r="99">
      <c r="A99" s="364" t="n"/>
      <c r="B99" s="364" t="n"/>
      <c r="C99" s="364" t="n"/>
      <c r="D99" s="364" t="n"/>
      <c r="E99" s="364" t="n"/>
      <c r="F99" s="364" t="n"/>
      <c r="G99" s="364" t="n"/>
      <c r="H99" s="364" t="n"/>
      <c r="I99" s="364" t="n"/>
      <c r="J99" s="364" t="n"/>
      <c r="K99" s="364" t="n"/>
      <c r="L99" s="364" t="n"/>
      <c r="M99" s="364" t="n"/>
      <c r="N99" s="364" t="n"/>
      <c r="O99" s="364" t="n"/>
      <c r="P99" s="364" t="n"/>
      <c r="Q99" s="364" t="n"/>
      <c r="R99" s="364" t="n"/>
      <c r="S99" s="364" t="n"/>
      <c r="T99" s="364" t="n"/>
      <c r="U99" s="364" t="n"/>
      <c r="V99" s="364" t="n"/>
      <c r="W99" s="364" t="n"/>
      <c r="X99" s="364" t="n"/>
      <c r="Y99" s="364" t="n"/>
      <c r="Z99" s="364" t="n"/>
    </row>
    <row r="100">
      <c r="A100" s="364" t="n"/>
      <c r="B100" s="364" t="n"/>
      <c r="C100" s="364" t="n"/>
      <c r="D100" s="364" t="n"/>
      <c r="E100" s="364" t="n"/>
      <c r="F100" s="364" t="n"/>
      <c r="G100" s="364" t="n"/>
      <c r="H100" s="364" t="n"/>
      <c r="I100" s="364" t="n"/>
      <c r="J100" s="364" t="n"/>
      <c r="K100" s="364" t="n"/>
      <c r="L100" s="364" t="n"/>
      <c r="M100" s="364" t="n"/>
      <c r="N100" s="364" t="n"/>
      <c r="O100" s="364" t="n"/>
      <c r="P100" s="364" t="n"/>
      <c r="Q100" s="364" t="n"/>
      <c r="R100" s="364" t="n"/>
      <c r="S100" s="364" t="n"/>
      <c r="T100" s="364" t="n"/>
      <c r="U100" s="364" t="n"/>
      <c r="V100" s="364" t="n"/>
      <c r="W100" s="364" t="n"/>
      <c r="X100" s="364" t="n"/>
      <c r="Y100" s="364" t="n"/>
      <c r="Z100" s="364" t="n"/>
    </row>
  </sheetData>
  <mergeCells count="2">
    <mergeCell ref="A2:E2"/>
    <mergeCell ref="A1:E1"/>
  </mergeCells>
  <dataValidations count="1">
    <dataValidation sqref="B8" showDropDown="0" showInputMessage="0" showErrorMessage="0" allowBlank="0" type="list">
      <formula1>"Manual,Base,Conservative,Investor Haircut"</formula1>
    </dataValidation>
  </dataValidations>
  <pageMargins left="0.7" right="0.7" top="0.75" bottom="0.75" header="0.3" footer="0.3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"/>
  <sheetViews>
    <sheetView showGridLines="0" workbookViewId="0">
      <selection activeCell="A1" sqref="A1"/>
    </sheetView>
  </sheetViews>
  <sheetFormatPr baseColWidth="8" defaultRowHeight="15"/>
  <cols>
    <col width="28" customWidth="1" style="34" min="1" max="1"/>
    <col width="17" customWidth="1" style="34" min="2" max="2"/>
    <col width="17" customWidth="1" style="34" min="3" max="3"/>
    <col width="17" customWidth="1" style="34" min="4" max="4"/>
    <col width="48" customWidth="1" style="34" min="5" max="5"/>
  </cols>
  <sheetData>
    <row r="1" ht="19.20000076293945" customHeight="1" s="34">
      <c r="A1" s="567" t="inlineStr">
        <is>
          <t>Three-Year Projection Model</t>
        </is>
      </c>
      <c r="B1" s="1" t="n"/>
      <c r="C1" s="1" t="n"/>
      <c r="D1" s="1" t="n"/>
      <c r="E1" s="1" t="n"/>
      <c r="F1" s="566" t="n"/>
      <c r="G1" s="566" t="n"/>
      <c r="H1" s="566" t="n"/>
      <c r="I1" s="566" t="n"/>
      <c r="J1" s="566" t="n"/>
      <c r="K1" s="566" t="n"/>
      <c r="L1" s="566" t="n"/>
      <c r="M1" s="566" t="n"/>
      <c r="N1" s="566" t="n"/>
      <c r="O1" s="566" t="n"/>
      <c r="P1" s="566" t="n"/>
      <c r="Q1" s="566" t="n"/>
      <c r="R1" s="566" t="n"/>
      <c r="S1" s="566" t="n"/>
      <c r="T1" s="566" t="n"/>
      <c r="U1" s="566" t="n"/>
      <c r="V1" s="566" t="n"/>
      <c r="W1" s="566" t="n"/>
      <c r="X1" s="566" t="n"/>
      <c r="Y1" s="566" t="n"/>
      <c r="Z1" s="566" t="n"/>
    </row>
    <row r="2" ht="15" customHeight="1" s="34">
      <c r="A2" s="393" t="inlineStr">
        <is>
          <t>Formula-driven model. Black font = formulas. Blue font = hardcoded assumptions on Assumptions tab.</t>
        </is>
      </c>
      <c r="B2" s="1" t="n"/>
      <c r="C2" s="1" t="n"/>
      <c r="D2" s="1" t="n"/>
      <c r="E2" s="1" t="n"/>
      <c r="F2" s="364" t="n"/>
      <c r="G2" s="364" t="n"/>
      <c r="H2" s="364" t="n"/>
      <c r="I2" s="364" t="n"/>
      <c r="J2" s="364" t="n"/>
      <c r="K2" s="364" t="n"/>
      <c r="L2" s="364" t="n"/>
      <c r="M2" s="364" t="n"/>
      <c r="N2" s="364" t="n"/>
      <c r="O2" s="364" t="n"/>
      <c r="P2" s="364" t="n"/>
      <c r="Q2" s="364" t="n"/>
      <c r="R2" s="364" t="n"/>
      <c r="S2" s="364" t="n"/>
      <c r="T2" s="364" t="n"/>
      <c r="U2" s="364" t="n"/>
      <c r="V2" s="364" t="n"/>
      <c r="W2" s="364" t="n"/>
      <c r="X2" s="364" t="n"/>
      <c r="Y2" s="364" t="n"/>
      <c r="Z2" s="364" t="n"/>
    </row>
    <row r="3" ht="15" customHeight="1" s="34">
      <c r="A3" s="366" t="n"/>
      <c r="B3" s="366" t="n"/>
      <c r="C3" s="366" t="n"/>
      <c r="D3" s="366" t="n"/>
      <c r="E3" s="366" t="n"/>
      <c r="F3" s="364" t="n"/>
      <c r="G3" s="364" t="n"/>
      <c r="H3" s="364" t="n"/>
      <c r="I3" s="364" t="n"/>
      <c r="J3" s="364" t="n"/>
      <c r="K3" s="364" t="n"/>
      <c r="L3" s="364" t="n"/>
      <c r="M3" s="364" t="n"/>
      <c r="N3" s="364" t="n"/>
      <c r="O3" s="364" t="n"/>
      <c r="P3" s="364" t="n"/>
      <c r="Q3" s="364" t="n"/>
      <c r="R3" s="364" t="n"/>
      <c r="S3" s="364" t="n"/>
      <c r="T3" s="364" t="n"/>
      <c r="U3" s="364" t="n"/>
      <c r="V3" s="364" t="n"/>
      <c r="W3" s="364" t="n"/>
      <c r="X3" s="364" t="n"/>
      <c r="Y3" s="364" t="n"/>
      <c r="Z3" s="364" t="n"/>
    </row>
    <row r="4" ht="15" customHeight="1" s="34">
      <c r="A4" s="663" t="inlineStr">
        <is>
          <t>Revenue Build</t>
        </is>
      </c>
      <c r="B4" s="664" t="n"/>
      <c r="C4" s="664" t="n"/>
      <c r="D4" s="664" t="n"/>
      <c r="E4" s="665" t="n"/>
      <c r="F4" s="364" t="n"/>
      <c r="G4" s="364" t="n"/>
      <c r="H4" s="364" t="n"/>
      <c r="I4" s="364" t="n"/>
      <c r="J4" s="364" t="n"/>
      <c r="K4" s="364" t="n"/>
      <c r="L4" s="364" t="n"/>
      <c r="M4" s="364" t="n"/>
      <c r="N4" s="364" t="n"/>
      <c r="O4" s="364" t="n"/>
      <c r="P4" s="364" t="n"/>
      <c r="Q4" s="364" t="n"/>
      <c r="R4" s="364" t="n"/>
      <c r="S4" s="364" t="n"/>
      <c r="T4" s="364" t="n"/>
      <c r="U4" s="364" t="n"/>
      <c r="V4" s="364" t="n"/>
      <c r="W4" s="364" t="n"/>
      <c r="X4" s="364" t="n"/>
      <c r="Y4" s="364" t="n"/>
      <c r="Z4" s="364" t="n"/>
    </row>
    <row r="5" ht="15" customHeight="1" s="34">
      <c r="A5" s="460" t="inlineStr">
        <is>
          <t>Line Item</t>
        </is>
      </c>
      <c r="B5" s="461" t="inlineStr">
        <is>
          <t>Year 1</t>
        </is>
      </c>
      <c r="C5" s="461" t="inlineStr">
        <is>
          <t>Year 2</t>
        </is>
      </c>
      <c r="D5" s="461" t="inlineStr">
        <is>
          <t>Year 3</t>
        </is>
      </c>
      <c r="E5" s="462" t="inlineStr">
        <is>
          <t>Formula / Notes</t>
        </is>
      </c>
      <c r="F5" s="364" t="n"/>
      <c r="G5" s="364" t="n"/>
      <c r="H5" s="364" t="n"/>
      <c r="I5" s="364" t="n"/>
      <c r="J5" s="364" t="n"/>
      <c r="K5" s="364" t="n"/>
      <c r="L5" s="364" t="n"/>
      <c r="M5" s="364" t="n"/>
      <c r="N5" s="364" t="n"/>
      <c r="O5" s="364" t="n"/>
      <c r="P5" s="364" t="n"/>
      <c r="Q5" s="364" t="n"/>
      <c r="R5" s="364" t="n"/>
      <c r="S5" s="364" t="n"/>
      <c r="T5" s="364" t="n"/>
      <c r="U5" s="364" t="n"/>
      <c r="V5" s="364" t="n"/>
      <c r="W5" s="364" t="n"/>
      <c r="X5" s="364" t="n"/>
      <c r="Y5" s="364" t="n"/>
      <c r="Z5" s="364" t="n"/>
    </row>
    <row r="6" ht="15" customHeight="1" s="34">
      <c r="A6" s="387" t="inlineStr">
        <is>
          <t>Units</t>
        </is>
      </c>
      <c r="B6" s="666">
        <f>'Assumptions'!B10</f>
        <v/>
      </c>
      <c r="C6" s="667">
        <f>B6*(1+'Assumptions'!B11)</f>
        <v/>
      </c>
      <c r="D6" s="667">
        <f>C6*(1+'Assumptions'!B12)</f>
        <v/>
      </c>
      <c r="E6" s="375" t="inlineStr">
        <is>
          <t>Y1 hardcoded from Assumptions; Y2/Y3 apply growth assumptions.</t>
        </is>
      </c>
      <c r="F6" s="364" t="n"/>
      <c r="G6" s="364" t="n"/>
      <c r="H6" s="364" t="n"/>
      <c r="I6" s="364" t="n"/>
      <c r="J6" s="364" t="n"/>
      <c r="K6" s="364" t="n"/>
      <c r="L6" s="364" t="n"/>
      <c r="M6" s="364" t="n"/>
      <c r="N6" s="364" t="n"/>
      <c r="O6" s="364" t="n"/>
      <c r="P6" s="364" t="n"/>
      <c r="Q6" s="364" t="n"/>
      <c r="R6" s="364" t="n"/>
      <c r="S6" s="364" t="n"/>
      <c r="T6" s="364" t="n"/>
      <c r="U6" s="364" t="n"/>
      <c r="V6" s="364" t="n"/>
      <c r="W6" s="364" t="n"/>
      <c r="X6" s="364" t="n"/>
      <c r="Y6" s="364" t="n"/>
      <c r="Z6" s="364" t="n"/>
    </row>
    <row r="7" ht="15" customHeight="1" s="34">
      <c r="A7" s="387" t="inlineStr">
        <is>
          <t>Average Selling Price</t>
        </is>
      </c>
      <c r="B7" s="668">
        <f>'Assumptions'!B9</f>
        <v/>
      </c>
      <c r="C7" s="668">
        <f>'Assumptions'!B9</f>
        <v/>
      </c>
      <c r="D7" s="668">
        <f>'Assumptions'!B9</f>
        <v/>
      </c>
      <c r="E7" s="375" t="inlineStr">
        <is>
          <t>Price per unit held constant.</t>
        </is>
      </c>
      <c r="F7" s="364" t="n"/>
      <c r="G7" s="364" t="n"/>
      <c r="H7" s="364" t="n"/>
      <c r="I7" s="364" t="n"/>
      <c r="J7" s="364" t="n"/>
      <c r="K7" s="364" t="n"/>
      <c r="L7" s="364" t="n"/>
      <c r="M7" s="364" t="n"/>
      <c r="N7" s="364" t="n"/>
      <c r="O7" s="364" t="n"/>
      <c r="P7" s="364" t="n"/>
      <c r="Q7" s="364" t="n"/>
      <c r="R7" s="364" t="n"/>
      <c r="S7" s="364" t="n"/>
      <c r="T7" s="364" t="n"/>
      <c r="U7" s="364" t="n"/>
      <c r="V7" s="364" t="n"/>
      <c r="W7" s="364" t="n"/>
      <c r="X7" s="364" t="n"/>
      <c r="Y7" s="364" t="n"/>
      <c r="Z7" s="364" t="n"/>
    </row>
    <row r="8" ht="15" customHeight="1" s="34">
      <c r="A8" s="387" t="inlineStr">
        <is>
          <t>Revenue</t>
        </is>
      </c>
      <c r="B8" s="669">
        <f>B6*B7</f>
        <v/>
      </c>
      <c r="C8" s="669">
        <f>C6*C7</f>
        <v/>
      </c>
      <c r="D8" s="669">
        <f>D6*D7</f>
        <v/>
      </c>
      <c r="E8" s="375" t="inlineStr">
        <is>
          <t>Units x Average Selling Price.</t>
        </is>
      </c>
      <c r="F8" s="364" t="n"/>
      <c r="G8" s="364" t="n"/>
      <c r="H8" s="364" t="n"/>
      <c r="I8" s="364" t="n"/>
      <c r="J8" s="364" t="n"/>
      <c r="K8" s="364" t="n"/>
      <c r="L8" s="364" t="n"/>
      <c r="M8" s="364" t="n"/>
      <c r="N8" s="364" t="n"/>
      <c r="O8" s="364" t="n"/>
      <c r="P8" s="364" t="n"/>
      <c r="Q8" s="364" t="n"/>
      <c r="R8" s="364" t="n"/>
      <c r="S8" s="364" t="n"/>
      <c r="T8" s="364" t="n"/>
      <c r="U8" s="364" t="n"/>
      <c r="V8" s="364" t="n"/>
      <c r="W8" s="364" t="n"/>
      <c r="X8" s="364" t="n"/>
      <c r="Y8" s="364" t="n"/>
      <c r="Z8" s="364" t="n"/>
    </row>
    <row r="9" ht="15" customHeight="1" s="34">
      <c r="A9" s="387" t="inlineStr">
        <is>
          <t>Revenue Growth</t>
        </is>
      </c>
      <c r="B9" s="670">
        <f>0</f>
        <v/>
      </c>
      <c r="C9" s="670">
        <f>IFERROR(C8/B8-1,0)</f>
        <v/>
      </c>
      <c r="D9" s="670">
        <f>IFERROR(D8/C8-1,0)</f>
        <v/>
      </c>
      <c r="E9" s="375" t="inlineStr">
        <is>
          <t>YoY growth.</t>
        </is>
      </c>
      <c r="F9" s="364" t="n"/>
      <c r="G9" s="364" t="n"/>
      <c r="H9" s="364" t="n"/>
      <c r="I9" s="364" t="n"/>
      <c r="J9" s="364" t="n"/>
      <c r="K9" s="364" t="n"/>
      <c r="L9" s="364" t="n"/>
      <c r="M9" s="364" t="n"/>
      <c r="N9" s="364" t="n"/>
      <c r="O9" s="364" t="n"/>
      <c r="P9" s="364" t="n"/>
      <c r="Q9" s="364" t="n"/>
      <c r="R9" s="364" t="n"/>
      <c r="S9" s="364" t="n"/>
      <c r="T9" s="364" t="n"/>
      <c r="U9" s="364" t="n"/>
      <c r="V9" s="364" t="n"/>
      <c r="W9" s="364" t="n"/>
      <c r="X9" s="364" t="n"/>
      <c r="Y9" s="364" t="n"/>
      <c r="Z9" s="364" t="n"/>
    </row>
    <row r="10" ht="15" customHeight="1" s="34">
      <c r="A10" s="387" t="str"/>
      <c r="B10" s="671" t="n"/>
      <c r="C10" s="671" t="n"/>
      <c r="D10" s="671" t="n"/>
      <c r="E10" s="375" t="str"/>
      <c r="F10" s="364" t="n"/>
      <c r="G10" s="364" t="n"/>
      <c r="H10" s="364" t="n"/>
      <c r="I10" s="364" t="n"/>
      <c r="J10" s="364" t="n"/>
      <c r="K10" s="364" t="n"/>
      <c r="L10" s="364" t="n"/>
      <c r="M10" s="364" t="n"/>
      <c r="N10" s="364" t="n"/>
      <c r="O10" s="364" t="n"/>
      <c r="P10" s="364" t="n"/>
      <c r="Q10" s="364" t="n"/>
      <c r="R10" s="364" t="n"/>
      <c r="S10" s="364" t="n"/>
      <c r="T10" s="364" t="n"/>
      <c r="U10" s="364" t="n"/>
      <c r="V10" s="364" t="n"/>
      <c r="W10" s="364" t="n"/>
      <c r="X10" s="364" t="n"/>
      <c r="Y10" s="364" t="n"/>
      <c r="Z10" s="364" t="n"/>
    </row>
    <row r="11" ht="15" customHeight="1" s="34">
      <c r="A11" s="467" t="inlineStr">
        <is>
          <t>Cost of Sales</t>
        </is>
      </c>
      <c r="B11" s="672" t="n"/>
      <c r="C11" s="672" t="n"/>
      <c r="D11" s="672" t="n"/>
      <c r="E11" s="469" t="str"/>
      <c r="F11" s="364" t="n"/>
      <c r="G11" s="364" t="n"/>
      <c r="H11" s="364" t="n"/>
      <c r="I11" s="364" t="n"/>
      <c r="J11" s="364" t="n"/>
      <c r="K11" s="364" t="n"/>
      <c r="L11" s="364" t="n"/>
      <c r="M11" s="364" t="n"/>
      <c r="N11" s="364" t="n"/>
      <c r="O11" s="364" t="n"/>
      <c r="P11" s="364" t="n"/>
      <c r="Q11" s="364" t="n"/>
      <c r="R11" s="364" t="n"/>
      <c r="S11" s="364" t="n"/>
      <c r="T11" s="364" t="n"/>
      <c r="U11" s="364" t="n"/>
      <c r="V11" s="364" t="n"/>
      <c r="W11" s="364" t="n"/>
      <c r="X11" s="364" t="n"/>
      <c r="Y11" s="364" t="n"/>
      <c r="Z11" s="364" t="n"/>
    </row>
    <row r="12" ht="15" customHeight="1" s="34">
      <c r="A12" s="387" t="inlineStr">
        <is>
          <t>Cost per Unit</t>
        </is>
      </c>
      <c r="B12" s="668">
        <f>'Assumptions'!B13</f>
        <v/>
      </c>
      <c r="C12" s="668">
        <f>'Assumptions'!B13</f>
        <v/>
      </c>
      <c r="D12" s="668">
        <f>'Assumptions'!B13</f>
        <v/>
      </c>
      <c r="E12" s="375" t="inlineStr">
        <is>
          <t>COGS per unit held constant.</t>
        </is>
      </c>
      <c r="F12" s="364" t="n"/>
      <c r="G12" s="364" t="n"/>
      <c r="H12" s="364" t="n"/>
      <c r="I12" s="364" t="n"/>
      <c r="J12" s="364" t="n"/>
      <c r="K12" s="364" t="n"/>
      <c r="L12" s="364" t="n"/>
      <c r="M12" s="364" t="n"/>
      <c r="N12" s="364" t="n"/>
      <c r="O12" s="364" t="n"/>
      <c r="P12" s="364" t="n"/>
      <c r="Q12" s="364" t="n"/>
      <c r="R12" s="364" t="n"/>
      <c r="S12" s="364" t="n"/>
      <c r="T12" s="364" t="n"/>
      <c r="U12" s="364" t="n"/>
      <c r="V12" s="364" t="n"/>
      <c r="W12" s="364" t="n"/>
      <c r="X12" s="364" t="n"/>
      <c r="Y12" s="364" t="n"/>
      <c r="Z12" s="364" t="n"/>
    </row>
    <row r="13" ht="15" customHeight="1" s="34">
      <c r="A13" s="387" t="inlineStr">
        <is>
          <t>COGS</t>
        </is>
      </c>
      <c r="B13" s="669">
        <f>B6*B12</f>
        <v/>
      </c>
      <c r="C13" s="669">
        <f>C6*C12</f>
        <v/>
      </c>
      <c r="D13" s="669">
        <f>D6*D12</f>
        <v/>
      </c>
      <c r="E13" s="375" t="inlineStr">
        <is>
          <t>Units x Cost per Unit.</t>
        </is>
      </c>
      <c r="F13" s="364" t="n"/>
      <c r="G13" s="364" t="n"/>
      <c r="H13" s="364" t="n"/>
      <c r="I13" s="364" t="n"/>
      <c r="J13" s="364" t="n"/>
      <c r="K13" s="364" t="n"/>
      <c r="L13" s="364" t="n"/>
      <c r="M13" s="364" t="n"/>
      <c r="N13" s="364" t="n"/>
      <c r="O13" s="364" t="n"/>
      <c r="P13" s="364" t="n"/>
      <c r="Q13" s="364" t="n"/>
      <c r="R13" s="364" t="n"/>
      <c r="S13" s="364" t="n"/>
      <c r="T13" s="364" t="n"/>
      <c r="U13" s="364" t="n"/>
      <c r="V13" s="364" t="n"/>
      <c r="W13" s="364" t="n"/>
      <c r="X13" s="364" t="n"/>
      <c r="Y13" s="364" t="n"/>
      <c r="Z13" s="364" t="n"/>
    </row>
    <row r="14" ht="15" customHeight="1" s="34">
      <c r="A14" s="387" t="inlineStr">
        <is>
          <t>Gross Profit</t>
        </is>
      </c>
      <c r="B14" s="669">
        <f>B8-B13</f>
        <v/>
      </c>
      <c r="C14" s="669">
        <f>C8-C13</f>
        <v/>
      </c>
      <c r="D14" s="669">
        <f>D8-D13</f>
        <v/>
      </c>
      <c r="E14" s="375" t="inlineStr">
        <is>
          <t>Revenue - COGS.</t>
        </is>
      </c>
      <c r="F14" s="364" t="n"/>
      <c r="G14" s="364" t="n"/>
      <c r="H14" s="364" t="n"/>
      <c r="I14" s="364" t="n"/>
      <c r="J14" s="364" t="n"/>
      <c r="K14" s="364" t="n"/>
      <c r="L14" s="364" t="n"/>
      <c r="M14" s="364" t="n"/>
      <c r="N14" s="364" t="n"/>
      <c r="O14" s="364" t="n"/>
      <c r="P14" s="364" t="n"/>
      <c r="Q14" s="364" t="n"/>
      <c r="R14" s="364" t="n"/>
      <c r="S14" s="364" t="n"/>
      <c r="T14" s="364" t="n"/>
      <c r="U14" s="364" t="n"/>
      <c r="V14" s="364" t="n"/>
      <c r="W14" s="364" t="n"/>
      <c r="X14" s="364" t="n"/>
      <c r="Y14" s="364" t="n"/>
      <c r="Z14" s="364" t="n"/>
    </row>
    <row r="15" ht="15" customHeight="1" s="34">
      <c r="A15" s="387" t="inlineStr">
        <is>
          <t>Gross Margin %</t>
        </is>
      </c>
      <c r="B15" s="670">
        <f>IFERROR(B14/B8,0)</f>
        <v/>
      </c>
      <c r="C15" s="670">
        <f>IFERROR(C14/C8,0)</f>
        <v/>
      </c>
      <c r="D15" s="670">
        <f>IFERROR(D14/D8,0)</f>
        <v/>
      </c>
      <c r="E15" s="375" t="inlineStr">
        <is>
          <t>Gross Profit / Revenue.</t>
        </is>
      </c>
      <c r="F15" s="364" t="n"/>
      <c r="G15" s="364" t="n"/>
      <c r="H15" s="364" t="n"/>
      <c r="I15" s="364" t="n"/>
      <c r="J15" s="364" t="n"/>
      <c r="K15" s="364" t="n"/>
      <c r="L15" s="364" t="n"/>
      <c r="M15" s="364" t="n"/>
      <c r="N15" s="364" t="n"/>
      <c r="O15" s="364" t="n"/>
      <c r="P15" s="364" t="n"/>
      <c r="Q15" s="364" t="n"/>
      <c r="R15" s="364" t="n"/>
      <c r="S15" s="364" t="n"/>
      <c r="T15" s="364" t="n"/>
      <c r="U15" s="364" t="n"/>
      <c r="V15" s="364" t="n"/>
      <c r="W15" s="364" t="n"/>
      <c r="X15" s="364" t="n"/>
      <c r="Y15" s="364" t="n"/>
      <c r="Z15" s="364" t="n"/>
    </row>
    <row r="16" ht="15" customHeight="1" s="34">
      <c r="A16" s="387" t="str"/>
      <c r="B16" s="673" t="n"/>
      <c r="C16" s="673" t="n"/>
      <c r="D16" s="673" t="n"/>
      <c r="E16" s="375" t="str"/>
      <c r="F16" s="364" t="n"/>
      <c r="G16" s="364" t="n"/>
      <c r="H16" s="364" t="n"/>
      <c r="I16" s="364" t="n"/>
      <c r="J16" s="364" t="n"/>
      <c r="K16" s="364" t="n"/>
      <c r="L16" s="364" t="n"/>
      <c r="M16" s="364" t="n"/>
      <c r="N16" s="364" t="n"/>
      <c r="O16" s="364" t="n"/>
      <c r="P16" s="364" t="n"/>
      <c r="Q16" s="364" t="n"/>
      <c r="R16" s="364" t="n"/>
      <c r="S16" s="364" t="n"/>
      <c r="T16" s="364" t="n"/>
      <c r="U16" s="364" t="n"/>
      <c r="V16" s="364" t="n"/>
      <c r="W16" s="364" t="n"/>
      <c r="X16" s="364" t="n"/>
      <c r="Y16" s="364" t="n"/>
      <c r="Z16" s="364" t="n"/>
    </row>
    <row r="17" ht="15" customHeight="1" s="34">
      <c r="A17" s="467" t="inlineStr">
        <is>
          <t>Operating Expenses</t>
        </is>
      </c>
      <c r="B17" s="672" t="n"/>
      <c r="C17" s="672" t="n"/>
      <c r="D17" s="672" t="n"/>
      <c r="E17" s="469" t="str"/>
      <c r="F17" s="364" t="n"/>
      <c r="G17" s="364" t="n"/>
      <c r="H17" s="364" t="n"/>
      <c r="I17" s="364" t="n"/>
      <c r="J17" s="364" t="n"/>
      <c r="K17" s="364" t="n"/>
      <c r="L17" s="364" t="n"/>
      <c r="M17" s="364" t="n"/>
      <c r="N17" s="364" t="n"/>
      <c r="O17" s="364" t="n"/>
      <c r="P17" s="364" t="n"/>
      <c r="Q17" s="364" t="n"/>
      <c r="R17" s="364" t="n"/>
      <c r="S17" s="364" t="n"/>
      <c r="T17" s="364" t="n"/>
      <c r="U17" s="364" t="n"/>
      <c r="V17" s="364" t="n"/>
      <c r="W17" s="364" t="n"/>
      <c r="X17" s="364" t="n"/>
      <c r="Y17" s="364" t="n"/>
      <c r="Z17" s="364" t="n"/>
    </row>
    <row r="18" ht="15" customHeight="1" s="34">
      <c r="A18" s="387" t="inlineStr">
        <is>
          <t>Variable OpEx</t>
        </is>
      </c>
      <c r="B18" s="669">
        <f>B8*'Assumptions'!B14</f>
        <v/>
      </c>
      <c r="C18" s="669">
        <f>C8*'Assumptions'!B14</f>
        <v/>
      </c>
      <c r="D18" s="669">
        <f>D8*'Assumptions'!B14</f>
        <v/>
      </c>
      <c r="E18" s="375" t="inlineStr">
        <is>
          <t>Revenue x Operating Expense %.</t>
        </is>
      </c>
      <c r="F18" s="364" t="n"/>
      <c r="G18" s="364" t="n"/>
      <c r="H18" s="364" t="n"/>
      <c r="I18" s="364" t="n"/>
      <c r="J18" s="364" t="n"/>
      <c r="K18" s="364" t="n"/>
      <c r="L18" s="364" t="n"/>
      <c r="M18" s="364" t="n"/>
      <c r="N18" s="364" t="n"/>
      <c r="O18" s="364" t="n"/>
      <c r="P18" s="364" t="n"/>
      <c r="Q18" s="364" t="n"/>
      <c r="R18" s="364" t="n"/>
      <c r="S18" s="364" t="n"/>
      <c r="T18" s="364" t="n"/>
      <c r="U18" s="364" t="n"/>
      <c r="V18" s="364" t="n"/>
      <c r="W18" s="364" t="n"/>
      <c r="X18" s="364" t="n"/>
      <c r="Y18" s="364" t="n"/>
      <c r="Z18" s="364" t="n"/>
    </row>
    <row r="19" ht="15" customHeight="1" s="34">
      <c r="A19" s="387" t="inlineStr">
        <is>
          <t>Fixed Annual Overhead</t>
        </is>
      </c>
      <c r="B19" s="668">
        <f>'Assumptions'!B15</f>
        <v/>
      </c>
      <c r="C19" s="668">
        <f>'Assumptions'!B15</f>
        <v/>
      </c>
      <c r="D19" s="668">
        <f>'Assumptions'!B15</f>
        <v/>
      </c>
      <c r="E19" s="375" t="inlineStr">
        <is>
          <t>Fixed overhead from Assumptions.</t>
        </is>
      </c>
      <c r="F19" s="364" t="n"/>
      <c r="G19" s="364" t="n"/>
      <c r="H19" s="364" t="n"/>
      <c r="I19" s="364" t="n"/>
      <c r="J19" s="364" t="n"/>
      <c r="K19" s="364" t="n"/>
      <c r="L19" s="364" t="n"/>
      <c r="M19" s="364" t="n"/>
      <c r="N19" s="364" t="n"/>
      <c r="O19" s="364" t="n"/>
      <c r="P19" s="364" t="n"/>
      <c r="Q19" s="364" t="n"/>
      <c r="R19" s="364" t="n"/>
      <c r="S19" s="364" t="n"/>
      <c r="T19" s="364" t="n"/>
      <c r="U19" s="364" t="n"/>
      <c r="V19" s="364" t="n"/>
      <c r="W19" s="364" t="n"/>
      <c r="X19" s="364" t="n"/>
      <c r="Y19" s="364" t="n"/>
      <c r="Z19" s="364" t="n"/>
    </row>
    <row r="20" ht="15" customHeight="1" s="34">
      <c r="A20" s="387" t="inlineStr">
        <is>
          <t>Total Operating Expenses</t>
        </is>
      </c>
      <c r="B20" s="669">
        <f>B18+B19</f>
        <v/>
      </c>
      <c r="C20" s="669">
        <f>C18+C19</f>
        <v/>
      </c>
      <c r="D20" s="669">
        <f>D18+D19</f>
        <v/>
      </c>
      <c r="E20" s="375" t="inlineStr">
        <is>
          <t>Variable OpEx + Fixed Overhead.</t>
        </is>
      </c>
      <c r="F20" s="364" t="n"/>
      <c r="G20" s="364" t="n"/>
      <c r="H20" s="364" t="n"/>
      <c r="I20" s="364" t="n"/>
      <c r="J20" s="364" t="n"/>
      <c r="K20" s="364" t="n"/>
      <c r="L20" s="364" t="n"/>
      <c r="M20" s="364" t="n"/>
      <c r="N20" s="364" t="n"/>
      <c r="O20" s="364" t="n"/>
      <c r="P20" s="364" t="n"/>
      <c r="Q20" s="364" t="n"/>
      <c r="R20" s="364" t="n"/>
      <c r="S20" s="364" t="n"/>
      <c r="T20" s="364" t="n"/>
      <c r="U20" s="364" t="n"/>
      <c r="V20" s="364" t="n"/>
      <c r="W20" s="364" t="n"/>
      <c r="X20" s="364" t="n"/>
      <c r="Y20" s="364" t="n"/>
      <c r="Z20" s="364" t="n"/>
    </row>
    <row r="21" ht="15" customHeight="1" s="34">
      <c r="A21" s="387" t="inlineStr">
        <is>
          <t>OpEx % of Revenue</t>
        </is>
      </c>
      <c r="B21" s="670">
        <f>IFERROR(B20/B8,0)</f>
        <v/>
      </c>
      <c r="C21" s="670">
        <f>IFERROR(C20/C8,0)</f>
        <v/>
      </c>
      <c r="D21" s="670">
        <f>IFERROR(D20/D8,0)</f>
        <v/>
      </c>
      <c r="E21" s="375" t="inlineStr">
        <is>
          <t>Total OpEx / Revenue.</t>
        </is>
      </c>
      <c r="F21" s="364" t="n"/>
      <c r="G21" s="364" t="n"/>
      <c r="H21" s="364" t="n"/>
      <c r="I21" s="364" t="n"/>
      <c r="J21" s="364" t="n"/>
      <c r="K21" s="364" t="n"/>
      <c r="L21" s="364" t="n"/>
      <c r="M21" s="364" t="n"/>
      <c r="N21" s="364" t="n"/>
      <c r="O21" s="364" t="n"/>
      <c r="P21" s="364" t="n"/>
      <c r="Q21" s="364" t="n"/>
      <c r="R21" s="364" t="n"/>
      <c r="S21" s="364" t="n"/>
      <c r="T21" s="364" t="n"/>
      <c r="U21" s="364" t="n"/>
      <c r="V21" s="364" t="n"/>
      <c r="W21" s="364" t="n"/>
      <c r="X21" s="364" t="n"/>
      <c r="Y21" s="364" t="n"/>
      <c r="Z21" s="364" t="n"/>
    </row>
    <row r="22" ht="15" customHeight="1" s="34">
      <c r="A22" s="387" t="inlineStr">
        <is>
          <t>Operating Income</t>
        </is>
      </c>
      <c r="B22" s="669">
        <f>B14-B20</f>
        <v/>
      </c>
      <c r="C22" s="669">
        <f>C14-C20</f>
        <v/>
      </c>
      <c r="D22" s="669">
        <f>D14-D20</f>
        <v/>
      </c>
      <c r="E22" s="375" t="inlineStr">
        <is>
          <t>Gross Profit - Total Operating Expenses.</t>
        </is>
      </c>
      <c r="F22" s="364" t="n"/>
      <c r="G22" s="364" t="n"/>
      <c r="H22" s="364" t="n"/>
      <c r="I22" s="364" t="n"/>
      <c r="J22" s="364" t="n"/>
      <c r="K22" s="364" t="n"/>
      <c r="L22" s="364" t="n"/>
      <c r="M22" s="364" t="n"/>
      <c r="N22" s="364" t="n"/>
      <c r="O22" s="364" t="n"/>
      <c r="P22" s="364" t="n"/>
      <c r="Q22" s="364" t="n"/>
      <c r="R22" s="364" t="n"/>
      <c r="S22" s="364" t="n"/>
      <c r="T22" s="364" t="n"/>
      <c r="U22" s="364" t="n"/>
      <c r="V22" s="364" t="n"/>
      <c r="W22" s="364" t="n"/>
      <c r="X22" s="364" t="n"/>
      <c r="Y22" s="364" t="n"/>
      <c r="Z22" s="364" t="n"/>
    </row>
    <row r="23" ht="15" customHeight="1" s="34">
      <c r="A23" s="387" t="str"/>
      <c r="B23" s="671" t="n"/>
      <c r="C23" s="671" t="n"/>
      <c r="D23" s="671" t="n"/>
      <c r="E23" s="375" t="str"/>
      <c r="F23" s="364" t="n"/>
      <c r="G23" s="364" t="n"/>
      <c r="H23" s="364" t="n"/>
      <c r="I23" s="364" t="n"/>
      <c r="J23" s="364" t="n"/>
      <c r="K23" s="364" t="n"/>
      <c r="L23" s="364" t="n"/>
      <c r="M23" s="364" t="n"/>
      <c r="N23" s="364" t="n"/>
      <c r="O23" s="364" t="n"/>
      <c r="P23" s="364" t="n"/>
      <c r="Q23" s="364" t="n"/>
      <c r="R23" s="364" t="n"/>
      <c r="S23" s="364" t="n"/>
      <c r="T23" s="364" t="n"/>
      <c r="U23" s="364" t="n"/>
      <c r="V23" s="364" t="n"/>
      <c r="W23" s="364" t="n"/>
      <c r="X23" s="364" t="n"/>
      <c r="Y23" s="364" t="n"/>
      <c r="Z23" s="364" t="n"/>
    </row>
    <row r="24" ht="15" customHeight="1" s="34">
      <c r="A24" s="467" t="inlineStr">
        <is>
          <t>Cash Flow / Profitability</t>
        </is>
      </c>
      <c r="B24" s="672" t="n"/>
      <c r="C24" s="672" t="n"/>
      <c r="D24" s="672" t="n"/>
      <c r="E24" s="469" t="str"/>
      <c r="F24" s="364" t="n"/>
      <c r="G24" s="364" t="n"/>
      <c r="H24" s="364" t="n"/>
      <c r="I24" s="364" t="n"/>
      <c r="J24" s="364" t="n"/>
      <c r="K24" s="364" t="n"/>
      <c r="L24" s="364" t="n"/>
      <c r="M24" s="364" t="n"/>
      <c r="N24" s="364" t="n"/>
      <c r="O24" s="364" t="n"/>
      <c r="P24" s="364" t="n"/>
      <c r="Q24" s="364" t="n"/>
      <c r="R24" s="364" t="n"/>
      <c r="S24" s="364" t="n"/>
      <c r="T24" s="364" t="n"/>
      <c r="U24" s="364" t="n"/>
      <c r="V24" s="364" t="n"/>
      <c r="W24" s="364" t="n"/>
      <c r="X24" s="364" t="n"/>
      <c r="Y24" s="364" t="n"/>
      <c r="Z24" s="364" t="n"/>
    </row>
    <row r="25" ht="15" customHeight="1" s="34">
      <c r="A25" s="387" t="inlineStr">
        <is>
          <t>Beginning Cash</t>
        </is>
      </c>
      <c r="B25" s="668">
        <f>'Assumptions'!B16</f>
        <v/>
      </c>
      <c r="C25" s="669">
        <f>B29</f>
        <v/>
      </c>
      <c r="D25" s="669">
        <f>C29</f>
        <v/>
      </c>
      <c r="E25" s="375" t="inlineStr">
        <is>
          <t>Y1 starts with cash input; future years roll forward.</t>
        </is>
      </c>
      <c r="F25" s="364" t="n"/>
      <c r="G25" s="364" t="n"/>
      <c r="H25" s="364" t="n"/>
      <c r="I25" s="364" t="n"/>
      <c r="J25" s="364" t="n"/>
      <c r="K25" s="364" t="n"/>
      <c r="L25" s="364" t="n"/>
      <c r="M25" s="364" t="n"/>
      <c r="N25" s="364" t="n"/>
      <c r="O25" s="364" t="n"/>
      <c r="P25" s="364" t="n"/>
      <c r="Q25" s="364" t="n"/>
      <c r="R25" s="364" t="n"/>
      <c r="S25" s="364" t="n"/>
      <c r="T25" s="364" t="n"/>
      <c r="U25" s="364" t="n"/>
      <c r="V25" s="364" t="n"/>
      <c r="W25" s="364" t="n"/>
      <c r="X25" s="364" t="n"/>
      <c r="Y25" s="364" t="n"/>
      <c r="Z25" s="364" t="n"/>
    </row>
    <row r="26" ht="15" customHeight="1" s="34">
      <c r="A26" s="387" t="inlineStr">
        <is>
          <t>Taxes</t>
        </is>
      </c>
      <c r="B26" s="669">
        <f>MAX(0,B22*'Assumptions'!B17)</f>
        <v/>
      </c>
      <c r="C26" s="669">
        <f>MAX(0,C22*'Assumptions'!B17)</f>
        <v/>
      </c>
      <c r="D26" s="669">
        <f>MAX(0,D22*'Assumptions'!B17)</f>
        <v/>
      </c>
      <c r="E26" s="375" t="inlineStr">
        <is>
          <t>MAX(0, Operating Income x Tax Rate).</t>
        </is>
      </c>
      <c r="F26" s="364" t="n"/>
      <c r="G26" s="364" t="n"/>
      <c r="H26" s="364" t="n"/>
      <c r="I26" s="364" t="n"/>
      <c r="J26" s="364" t="n"/>
      <c r="K26" s="364" t="n"/>
      <c r="L26" s="364" t="n"/>
      <c r="M26" s="364" t="n"/>
      <c r="N26" s="364" t="n"/>
      <c r="O26" s="364" t="n"/>
      <c r="P26" s="364" t="n"/>
      <c r="Q26" s="364" t="n"/>
      <c r="R26" s="364" t="n"/>
      <c r="S26" s="364" t="n"/>
      <c r="T26" s="364" t="n"/>
      <c r="U26" s="364" t="n"/>
      <c r="V26" s="364" t="n"/>
      <c r="W26" s="364" t="n"/>
      <c r="X26" s="364" t="n"/>
      <c r="Y26" s="364" t="n"/>
      <c r="Z26" s="364" t="n"/>
    </row>
    <row r="27" ht="15" customHeight="1" s="34">
      <c r="A27" s="387" t="inlineStr">
        <is>
          <t>Net Income</t>
        </is>
      </c>
      <c r="B27" s="669">
        <f>B22-B26</f>
        <v/>
      </c>
      <c r="C27" s="669">
        <f>C22-C26</f>
        <v/>
      </c>
      <c r="D27" s="669">
        <f>D22-D26</f>
        <v/>
      </c>
      <c r="E27" s="375" t="inlineStr">
        <is>
          <t>Operating Income - Taxes.</t>
        </is>
      </c>
      <c r="F27" s="364" t="n"/>
      <c r="G27" s="364" t="n"/>
      <c r="H27" s="364" t="n"/>
      <c r="I27" s="364" t="n"/>
      <c r="J27" s="364" t="n"/>
      <c r="K27" s="364" t="n"/>
      <c r="L27" s="364" t="n"/>
      <c r="M27" s="364" t="n"/>
      <c r="N27" s="364" t="n"/>
      <c r="O27" s="364" t="n"/>
      <c r="P27" s="364" t="n"/>
      <c r="Q27" s="364" t="n"/>
      <c r="R27" s="364" t="n"/>
      <c r="S27" s="364" t="n"/>
      <c r="T27" s="364" t="n"/>
      <c r="U27" s="364" t="n"/>
      <c r="V27" s="364" t="n"/>
      <c r="W27" s="364" t="n"/>
      <c r="X27" s="364" t="n"/>
      <c r="Y27" s="364" t="n"/>
      <c r="Z27" s="364" t="n"/>
    </row>
    <row r="28" ht="15" customHeight="1" s="34">
      <c r="A28" s="387" t="inlineStr">
        <is>
          <t>Net Margin %</t>
        </is>
      </c>
      <c r="B28" s="670">
        <f>IFERROR(B27/B8,0)</f>
        <v/>
      </c>
      <c r="C28" s="670">
        <f>IFERROR(C27/C8,0)</f>
        <v/>
      </c>
      <c r="D28" s="670">
        <f>IFERROR(D27/D8,0)</f>
        <v/>
      </c>
      <c r="E28" s="375" t="inlineStr">
        <is>
          <t>Net Income / Revenue.</t>
        </is>
      </c>
      <c r="F28" s="364" t="n"/>
      <c r="G28" s="364" t="n"/>
      <c r="H28" s="364" t="n"/>
      <c r="I28" s="364" t="n"/>
      <c r="J28" s="364" t="n"/>
      <c r="K28" s="364" t="n"/>
      <c r="L28" s="364" t="n"/>
      <c r="M28" s="364" t="n"/>
      <c r="N28" s="364" t="n"/>
      <c r="O28" s="364" t="n"/>
      <c r="P28" s="364" t="n"/>
      <c r="Q28" s="364" t="n"/>
      <c r="R28" s="364" t="n"/>
      <c r="S28" s="364" t="n"/>
      <c r="T28" s="364" t="n"/>
      <c r="U28" s="364" t="n"/>
      <c r="V28" s="364" t="n"/>
      <c r="W28" s="364" t="n"/>
      <c r="X28" s="364" t="n"/>
      <c r="Y28" s="364" t="n"/>
      <c r="Z28" s="364" t="n"/>
    </row>
    <row r="29" ht="15" customHeight="1" s="34">
      <c r="A29" s="387" t="inlineStr">
        <is>
          <t>Ending Cash</t>
        </is>
      </c>
      <c r="B29" s="669">
        <f>B25+B27</f>
        <v/>
      </c>
      <c r="C29" s="669">
        <f>C25+C27</f>
        <v/>
      </c>
      <c r="D29" s="669">
        <f>D25+D27</f>
        <v/>
      </c>
      <c r="E29" s="375" t="inlineStr">
        <is>
          <t>Beginning Cash + Net Income.</t>
        </is>
      </c>
      <c r="F29" s="364" t="n"/>
      <c r="G29" s="364" t="n"/>
      <c r="H29" s="364" t="n"/>
      <c r="I29" s="364" t="n"/>
      <c r="J29" s="364" t="n"/>
      <c r="K29" s="364" t="n"/>
      <c r="L29" s="364" t="n"/>
      <c r="M29" s="364" t="n"/>
      <c r="N29" s="364" t="n"/>
      <c r="O29" s="364" t="n"/>
      <c r="P29" s="364" t="n"/>
      <c r="Q29" s="364" t="n"/>
      <c r="R29" s="364" t="n"/>
      <c r="S29" s="364" t="n"/>
      <c r="T29" s="364" t="n"/>
      <c r="U29" s="364" t="n"/>
      <c r="V29" s="364" t="n"/>
      <c r="W29" s="364" t="n"/>
      <c r="X29" s="364" t="n"/>
      <c r="Y29" s="364" t="n"/>
      <c r="Z29" s="364" t="n"/>
    </row>
    <row r="30" ht="15" customHeight="1" s="34">
      <c r="A30" s="471" t="n"/>
      <c r="B30" s="671" t="n"/>
      <c r="C30" s="671" t="n"/>
      <c r="D30" s="671" t="n"/>
      <c r="E30" s="375" t="n"/>
      <c r="F30" s="364" t="n"/>
      <c r="G30" s="364" t="n"/>
      <c r="H30" s="364" t="n"/>
      <c r="I30" s="364" t="n"/>
      <c r="J30" s="364" t="n"/>
      <c r="K30" s="364" t="n"/>
      <c r="L30" s="364" t="n"/>
      <c r="M30" s="364" t="n"/>
      <c r="N30" s="364" t="n"/>
      <c r="O30" s="364" t="n"/>
      <c r="P30" s="364" t="n"/>
      <c r="Q30" s="364" t="n"/>
      <c r="R30" s="364" t="n"/>
      <c r="S30" s="364" t="n"/>
      <c r="T30" s="364" t="n"/>
      <c r="U30" s="364" t="n"/>
      <c r="V30" s="364" t="n"/>
      <c r="W30" s="364" t="n"/>
      <c r="X30" s="364" t="n"/>
      <c r="Y30" s="364" t="n"/>
      <c r="Z30" s="364" t="n"/>
    </row>
    <row r="31" ht="15" customHeight="1" s="34">
      <c r="A31" s="471" t="n"/>
      <c r="B31" s="671" t="n"/>
      <c r="C31" s="671" t="n"/>
      <c r="D31" s="671" t="n"/>
      <c r="E31" s="375" t="n"/>
      <c r="F31" s="364" t="n"/>
      <c r="G31" s="364" t="n"/>
      <c r="H31" s="364" t="n"/>
      <c r="I31" s="364" t="n"/>
      <c r="J31" s="364" t="n"/>
      <c r="K31" s="364" t="n"/>
      <c r="L31" s="364" t="n"/>
      <c r="M31" s="364" t="n"/>
      <c r="N31" s="364" t="n"/>
      <c r="O31" s="364" t="n"/>
      <c r="P31" s="364" t="n"/>
      <c r="Q31" s="364" t="n"/>
      <c r="R31" s="364" t="n"/>
      <c r="S31" s="364" t="n"/>
      <c r="T31" s="364" t="n"/>
      <c r="U31" s="364" t="n"/>
      <c r="V31" s="364" t="n"/>
      <c r="W31" s="364" t="n"/>
      <c r="X31" s="364" t="n"/>
      <c r="Y31" s="364" t="n"/>
      <c r="Z31" s="364" t="n"/>
    </row>
    <row r="32" ht="15" customHeight="1" s="34">
      <c r="A32" s="471" t="n"/>
      <c r="B32" s="671" t="n"/>
      <c r="C32" s="671" t="n"/>
      <c r="D32" s="671" t="n"/>
      <c r="E32" s="375" t="n"/>
      <c r="F32" s="364" t="n"/>
      <c r="G32" s="364" t="n"/>
      <c r="H32" s="364" t="n"/>
      <c r="I32" s="364" t="n"/>
      <c r="J32" s="364" t="n"/>
      <c r="K32" s="364" t="n"/>
      <c r="L32" s="364" t="n"/>
      <c r="M32" s="364" t="n"/>
      <c r="N32" s="364" t="n"/>
      <c r="O32" s="364" t="n"/>
      <c r="P32" s="364" t="n"/>
      <c r="Q32" s="364" t="n"/>
      <c r="R32" s="364" t="n"/>
      <c r="S32" s="364" t="n"/>
      <c r="T32" s="364" t="n"/>
      <c r="U32" s="364" t="n"/>
      <c r="V32" s="364" t="n"/>
      <c r="W32" s="364" t="n"/>
      <c r="X32" s="364" t="n"/>
      <c r="Y32" s="364" t="n"/>
      <c r="Z32" s="364" t="n"/>
    </row>
    <row r="33" ht="15" customHeight="1" s="34">
      <c r="A33" s="674" t="inlineStr">
        <is>
          <t>Investor Haircut Case</t>
        </is>
      </c>
      <c r="B33" s="1" t="n"/>
      <c r="C33" s="1" t="n"/>
      <c r="D33" s="1" t="n"/>
      <c r="E33" s="44" t="n"/>
      <c r="F33" s="364" t="n"/>
      <c r="G33" s="364" t="n"/>
      <c r="H33" s="364" t="n"/>
      <c r="I33" s="364" t="n"/>
      <c r="J33" s="364" t="n"/>
      <c r="K33" s="364" t="n"/>
      <c r="L33" s="364" t="n"/>
      <c r="M33" s="364" t="n"/>
      <c r="N33" s="364" t="n"/>
      <c r="O33" s="364" t="n"/>
      <c r="P33" s="364" t="n"/>
      <c r="Q33" s="364" t="n"/>
      <c r="R33" s="364" t="n"/>
      <c r="S33" s="364" t="n"/>
      <c r="T33" s="364" t="n"/>
      <c r="U33" s="364" t="n"/>
      <c r="V33" s="364" t="n"/>
      <c r="W33" s="364" t="n"/>
      <c r="X33" s="364" t="n"/>
      <c r="Y33" s="364" t="n"/>
      <c r="Z33" s="364" t="n"/>
    </row>
    <row r="34" ht="15" customHeight="1" s="34">
      <c r="A34" s="460" t="inlineStr">
        <is>
          <t>Line Item</t>
        </is>
      </c>
      <c r="B34" s="675" t="inlineStr">
        <is>
          <t>Year 1</t>
        </is>
      </c>
      <c r="C34" s="675" t="inlineStr">
        <is>
          <t>Year 2</t>
        </is>
      </c>
      <c r="D34" s="675" t="inlineStr">
        <is>
          <t>Year 3</t>
        </is>
      </c>
      <c r="E34" s="476" t="inlineStr">
        <is>
          <t>Formula / Notes</t>
        </is>
      </c>
      <c r="F34" s="364" t="n"/>
      <c r="G34" s="364" t="n"/>
      <c r="H34" s="364" t="n"/>
      <c r="I34" s="364" t="n"/>
      <c r="J34" s="364" t="n"/>
      <c r="K34" s="364" t="n"/>
      <c r="L34" s="364" t="n"/>
      <c r="M34" s="364" t="n"/>
      <c r="N34" s="364" t="n"/>
      <c r="O34" s="364" t="n"/>
      <c r="P34" s="364" t="n"/>
      <c r="Q34" s="364" t="n"/>
      <c r="R34" s="364" t="n"/>
      <c r="S34" s="364" t="n"/>
      <c r="T34" s="364" t="n"/>
      <c r="U34" s="364" t="n"/>
      <c r="V34" s="364" t="n"/>
      <c r="W34" s="364" t="n"/>
      <c r="X34" s="364" t="n"/>
      <c r="Y34" s="364" t="n"/>
      <c r="Z34" s="364" t="n"/>
    </row>
    <row r="35" ht="15" customHeight="1" s="34">
      <c r="A35" s="471" t="inlineStr">
        <is>
          <t>Revenue @ Investor Haircut</t>
        </is>
      </c>
      <c r="B35" s="669">
        <f>B8*(1-'Assumptions'!B18)</f>
        <v/>
      </c>
      <c r="C35" s="669">
        <f>C8*(1-'Assumptions'!B18)</f>
        <v/>
      </c>
      <c r="D35" s="669">
        <f>D8*(1-'Assumptions'!B18)</f>
        <v/>
      </c>
      <c r="E35" s="375" t="inlineStr">
        <is>
          <t>Revenue reduced by Investor Pushback %.</t>
        </is>
      </c>
      <c r="F35" s="364" t="n"/>
      <c r="G35" s="364" t="n"/>
      <c r="H35" s="364" t="n"/>
      <c r="I35" s="364" t="n"/>
      <c r="J35" s="364" t="n"/>
      <c r="K35" s="364" t="n"/>
      <c r="L35" s="364" t="n"/>
      <c r="M35" s="364" t="n"/>
      <c r="N35" s="364" t="n"/>
      <c r="O35" s="364" t="n"/>
      <c r="P35" s="364" t="n"/>
      <c r="Q35" s="364" t="n"/>
      <c r="R35" s="364" t="n"/>
      <c r="S35" s="364" t="n"/>
      <c r="T35" s="364" t="n"/>
      <c r="U35" s="364" t="n"/>
      <c r="V35" s="364" t="n"/>
      <c r="W35" s="364" t="n"/>
      <c r="X35" s="364" t="n"/>
      <c r="Y35" s="364" t="n"/>
      <c r="Z35" s="364" t="n"/>
    </row>
    <row r="36" ht="24" customHeight="1" s="34">
      <c r="A36" s="471" t="inlineStr">
        <is>
          <t>Net Income @ Investor Haircut</t>
        </is>
      </c>
      <c r="B36" s="669">
        <f>B35-(B13*(1-'Assumptions'!B18))-(B18*(1-'Assumptions'!B18))-B19-MAX(0,(B35-(B13*(1-'Assumptions'!B18))-(B18*(1-'Assumptions'!B18))-B19)*'Assumptions'!B17)</f>
        <v/>
      </c>
      <c r="C36" s="669">
        <f>C35-(C13*(1-'Assumptions'!B18))-(C18*(1-'Assumptions'!B18))-C19-MAX(0,(C35-(C13*(1-'Assumptions'!B18))-(C18*(1-'Assumptions'!B18))-C19)*'Assumptions'!B17)</f>
        <v/>
      </c>
      <c r="D36" s="669">
        <f>D35-(D13*(1-'Assumptions'!B18))-(D18*(1-'Assumptions'!B18))-D19-MAX(0,(D35-(D13*(1-'Assumptions'!B18))-(D18*(1-'Assumptions'!B18))-D19)*'Assumptions'!B17)</f>
        <v/>
      </c>
      <c r="E36" s="375" t="inlineStr">
        <is>
          <t>Simple pressure-test: revenue haircut with variable COGS/OpEx partially flexed.</t>
        </is>
      </c>
      <c r="F36" s="364" t="n"/>
      <c r="G36" s="364" t="n"/>
      <c r="H36" s="364" t="n"/>
      <c r="I36" s="364" t="n"/>
      <c r="J36" s="364" t="n"/>
      <c r="K36" s="364" t="n"/>
      <c r="L36" s="364" t="n"/>
      <c r="M36" s="364" t="n"/>
      <c r="N36" s="364" t="n"/>
      <c r="O36" s="364" t="n"/>
      <c r="P36" s="364" t="n"/>
      <c r="Q36" s="364" t="n"/>
      <c r="R36" s="364" t="n"/>
      <c r="S36" s="364" t="n"/>
      <c r="T36" s="364" t="n"/>
      <c r="U36" s="364" t="n"/>
      <c r="V36" s="364" t="n"/>
      <c r="W36" s="364" t="n"/>
      <c r="X36" s="364" t="n"/>
      <c r="Y36" s="364" t="n"/>
      <c r="Z36" s="364" t="n"/>
    </row>
    <row r="37" ht="15" customHeight="1" s="34">
      <c r="A37" s="477" t="inlineStr">
        <is>
          <t>Ending Cash @ Investor Haircut</t>
        </is>
      </c>
      <c r="B37" s="676">
        <f>'Assumptions'!B16+B36</f>
        <v/>
      </c>
      <c r="C37" s="677">
        <f>B37+C36</f>
        <v/>
      </c>
      <c r="D37" s="677">
        <f>C37+D36</f>
        <v/>
      </c>
      <c r="E37" s="383" t="inlineStr">
        <is>
          <t>Starting cash + cumulative haircut case income.</t>
        </is>
      </c>
      <c r="F37" s="364" t="n"/>
      <c r="G37" s="364" t="n"/>
      <c r="H37" s="364" t="n"/>
      <c r="I37" s="364" t="n"/>
      <c r="J37" s="364" t="n"/>
      <c r="K37" s="364" t="n"/>
      <c r="L37" s="364" t="n"/>
      <c r="M37" s="364" t="n"/>
      <c r="N37" s="364" t="n"/>
      <c r="O37" s="364" t="n"/>
      <c r="P37" s="364" t="n"/>
      <c r="Q37" s="364" t="n"/>
      <c r="R37" s="364" t="n"/>
      <c r="S37" s="364" t="n"/>
      <c r="T37" s="364" t="n"/>
      <c r="U37" s="364" t="n"/>
      <c r="V37" s="364" t="n"/>
      <c r="W37" s="364" t="n"/>
      <c r="X37" s="364" t="n"/>
      <c r="Y37" s="364" t="n"/>
      <c r="Z37" s="364" t="n"/>
    </row>
    <row r="38" ht="15" customHeight="1" s="34">
      <c r="A38" s="364" t="n"/>
      <c r="B38" s="364" t="n"/>
      <c r="C38" s="364" t="n"/>
      <c r="D38" s="364" t="n"/>
      <c r="E38" s="364" t="n"/>
      <c r="F38" s="364" t="n"/>
      <c r="G38" s="364" t="n"/>
      <c r="H38" s="364" t="n"/>
      <c r="I38" s="364" t="n"/>
      <c r="J38" s="364" t="n"/>
      <c r="K38" s="364" t="n"/>
      <c r="L38" s="364" t="n"/>
      <c r="M38" s="364" t="n"/>
      <c r="N38" s="364" t="n"/>
      <c r="O38" s="364" t="n"/>
      <c r="P38" s="364" t="n"/>
      <c r="Q38" s="364" t="n"/>
      <c r="R38" s="364" t="n"/>
      <c r="S38" s="364" t="n"/>
      <c r="T38" s="364" t="n"/>
      <c r="U38" s="364" t="n"/>
      <c r="V38" s="364" t="n"/>
      <c r="W38" s="364" t="n"/>
      <c r="X38" s="364" t="n"/>
      <c r="Y38" s="364" t="n"/>
      <c r="Z38" s="364" t="n"/>
    </row>
    <row r="39" ht="15" customHeight="1" s="34">
      <c r="A39" s="364" t="n"/>
      <c r="B39" s="364" t="n"/>
      <c r="C39" s="364" t="n"/>
      <c r="D39" s="364" t="n"/>
      <c r="E39" s="364" t="n"/>
      <c r="F39" s="364" t="n"/>
      <c r="G39" s="364" t="n"/>
      <c r="H39" s="364" t="n"/>
      <c r="I39" s="364" t="n"/>
      <c r="J39" s="364" t="n"/>
      <c r="K39" s="364" t="n"/>
      <c r="L39" s="364" t="n"/>
      <c r="M39" s="364" t="n"/>
      <c r="N39" s="364" t="n"/>
      <c r="O39" s="364" t="n"/>
      <c r="P39" s="364" t="n"/>
      <c r="Q39" s="364" t="n"/>
      <c r="R39" s="364" t="n"/>
      <c r="S39" s="364" t="n"/>
      <c r="T39" s="364" t="n"/>
      <c r="U39" s="364" t="n"/>
      <c r="V39" s="364" t="n"/>
      <c r="W39" s="364" t="n"/>
      <c r="X39" s="364" t="n"/>
      <c r="Y39" s="364" t="n"/>
      <c r="Z39" s="364" t="n"/>
    </row>
    <row r="40" ht="15" customHeight="1" s="34">
      <c r="A40" s="364" t="n"/>
      <c r="B40" s="364" t="n"/>
      <c r="C40" s="364" t="n"/>
      <c r="D40" s="364" t="n"/>
      <c r="E40" s="364" t="n"/>
      <c r="F40" s="364" t="n"/>
      <c r="G40" s="364" t="n"/>
      <c r="H40" s="364" t="n"/>
      <c r="I40" s="364" t="n"/>
      <c r="J40" s="364" t="n"/>
      <c r="K40" s="364" t="n"/>
      <c r="L40" s="364" t="n"/>
      <c r="M40" s="364" t="n"/>
      <c r="N40" s="364" t="n"/>
      <c r="O40" s="364" t="n"/>
      <c r="P40" s="364" t="n"/>
      <c r="Q40" s="364" t="n"/>
      <c r="R40" s="364" t="n"/>
      <c r="S40" s="364" t="n"/>
      <c r="T40" s="364" t="n"/>
      <c r="U40" s="364" t="n"/>
      <c r="V40" s="364" t="n"/>
      <c r="W40" s="364" t="n"/>
      <c r="X40" s="364" t="n"/>
      <c r="Y40" s="364" t="n"/>
      <c r="Z40" s="364" t="n"/>
    </row>
    <row r="41">
      <c r="A41" s="364" t="n"/>
      <c r="B41" s="364" t="n"/>
      <c r="C41" s="364" t="n"/>
      <c r="D41" s="364" t="n"/>
      <c r="E41" s="364" t="n"/>
      <c r="F41" s="364" t="n"/>
      <c r="G41" s="364" t="n"/>
      <c r="H41" s="364" t="n"/>
      <c r="I41" s="364" t="n"/>
      <c r="J41" s="364" t="n"/>
      <c r="K41" s="364" t="n"/>
      <c r="L41" s="364" t="n"/>
      <c r="M41" s="364" t="n"/>
      <c r="N41" s="364" t="n"/>
      <c r="O41" s="364" t="n"/>
      <c r="P41" s="364" t="n"/>
      <c r="Q41" s="364" t="n"/>
      <c r="R41" s="364" t="n"/>
      <c r="S41" s="364" t="n"/>
      <c r="T41" s="364" t="n"/>
      <c r="U41" s="364" t="n"/>
      <c r="V41" s="364" t="n"/>
      <c r="W41" s="364" t="n"/>
      <c r="X41" s="364" t="n"/>
      <c r="Y41" s="364" t="n"/>
      <c r="Z41" s="364" t="n"/>
    </row>
    <row r="42">
      <c r="A42" s="364" t="n"/>
      <c r="B42" s="364" t="n"/>
      <c r="C42" s="364" t="n"/>
      <c r="D42" s="364" t="n"/>
      <c r="E42" s="364" t="n"/>
      <c r="F42" s="364" t="n"/>
      <c r="G42" s="364" t="n"/>
      <c r="H42" s="364" t="n"/>
      <c r="I42" s="364" t="n"/>
      <c r="J42" s="364" t="n"/>
      <c r="K42" s="364" t="n"/>
      <c r="L42" s="364" t="n"/>
      <c r="M42" s="364" t="n"/>
      <c r="N42" s="364" t="n"/>
      <c r="O42" s="364" t="n"/>
      <c r="P42" s="364" t="n"/>
      <c r="Q42" s="364" t="n"/>
      <c r="R42" s="364" t="n"/>
      <c r="S42" s="364" t="n"/>
      <c r="T42" s="364" t="n"/>
      <c r="U42" s="364" t="n"/>
      <c r="V42" s="364" t="n"/>
      <c r="W42" s="364" t="n"/>
      <c r="X42" s="364" t="n"/>
      <c r="Y42" s="364" t="n"/>
      <c r="Z42" s="364" t="n"/>
    </row>
    <row r="43">
      <c r="A43" s="364" t="n"/>
      <c r="B43" s="364" t="n"/>
      <c r="C43" s="364" t="n"/>
      <c r="D43" s="364" t="n"/>
      <c r="E43" s="364" t="n"/>
      <c r="F43" s="364" t="n"/>
      <c r="G43" s="364" t="n"/>
      <c r="H43" s="364" t="n"/>
      <c r="I43" s="364" t="n"/>
      <c r="J43" s="364" t="n"/>
      <c r="K43" s="364" t="n"/>
      <c r="L43" s="364" t="n"/>
      <c r="M43" s="364" t="n"/>
      <c r="N43" s="364" t="n"/>
      <c r="O43" s="364" t="n"/>
      <c r="P43" s="364" t="n"/>
      <c r="Q43" s="364" t="n"/>
      <c r="R43" s="364" t="n"/>
      <c r="S43" s="364" t="n"/>
      <c r="T43" s="364" t="n"/>
      <c r="U43" s="364" t="n"/>
      <c r="V43" s="364" t="n"/>
      <c r="W43" s="364" t="n"/>
      <c r="X43" s="364" t="n"/>
      <c r="Y43" s="364" t="n"/>
      <c r="Z43" s="364" t="n"/>
    </row>
    <row r="44">
      <c r="A44" s="364" t="n"/>
      <c r="B44" s="364" t="n"/>
      <c r="C44" s="364" t="n"/>
      <c r="D44" s="364" t="n"/>
      <c r="E44" s="364" t="n"/>
      <c r="F44" s="364" t="n"/>
      <c r="G44" s="364" t="n"/>
      <c r="H44" s="364" t="n"/>
      <c r="I44" s="364" t="n"/>
      <c r="J44" s="364" t="n"/>
      <c r="K44" s="364" t="n"/>
      <c r="L44" s="364" t="n"/>
      <c r="M44" s="364" t="n"/>
      <c r="N44" s="364" t="n"/>
      <c r="O44" s="364" t="n"/>
      <c r="P44" s="364" t="n"/>
      <c r="Q44" s="364" t="n"/>
      <c r="R44" s="364" t="n"/>
      <c r="S44" s="364" t="n"/>
      <c r="T44" s="364" t="n"/>
      <c r="U44" s="364" t="n"/>
      <c r="V44" s="364" t="n"/>
      <c r="W44" s="364" t="n"/>
      <c r="X44" s="364" t="n"/>
      <c r="Y44" s="364" t="n"/>
      <c r="Z44" s="364" t="n"/>
    </row>
    <row r="45">
      <c r="A45" s="364" t="n"/>
      <c r="B45" s="364" t="n"/>
      <c r="C45" s="364" t="n"/>
      <c r="D45" s="364" t="n"/>
      <c r="E45" s="364" t="n"/>
      <c r="F45" s="364" t="n"/>
      <c r="G45" s="364" t="n"/>
      <c r="H45" s="364" t="n"/>
      <c r="I45" s="364" t="n"/>
      <c r="J45" s="364" t="n"/>
      <c r="K45" s="364" t="n"/>
      <c r="L45" s="364" t="n"/>
      <c r="M45" s="364" t="n"/>
      <c r="N45" s="364" t="n"/>
      <c r="O45" s="364" t="n"/>
      <c r="P45" s="364" t="n"/>
      <c r="Q45" s="364" t="n"/>
      <c r="R45" s="364" t="n"/>
      <c r="S45" s="364" t="n"/>
      <c r="T45" s="364" t="n"/>
      <c r="U45" s="364" t="n"/>
      <c r="V45" s="364" t="n"/>
      <c r="W45" s="364" t="n"/>
      <c r="X45" s="364" t="n"/>
      <c r="Y45" s="364" t="n"/>
      <c r="Z45" s="364" t="n"/>
    </row>
    <row r="46">
      <c r="A46" s="364" t="n"/>
      <c r="B46" s="364" t="n"/>
      <c r="C46" s="364" t="n"/>
      <c r="D46" s="364" t="n"/>
      <c r="E46" s="364" t="n"/>
      <c r="F46" s="364" t="n"/>
      <c r="G46" s="364" t="n"/>
      <c r="H46" s="364" t="n"/>
      <c r="I46" s="364" t="n"/>
      <c r="J46" s="364" t="n"/>
      <c r="K46" s="364" t="n"/>
      <c r="L46" s="364" t="n"/>
      <c r="M46" s="364" t="n"/>
      <c r="N46" s="364" t="n"/>
      <c r="O46" s="364" t="n"/>
      <c r="P46" s="364" t="n"/>
      <c r="Q46" s="364" t="n"/>
      <c r="R46" s="364" t="n"/>
      <c r="S46" s="364" t="n"/>
      <c r="T46" s="364" t="n"/>
      <c r="U46" s="364" t="n"/>
      <c r="V46" s="364" t="n"/>
      <c r="W46" s="364" t="n"/>
      <c r="X46" s="364" t="n"/>
      <c r="Y46" s="364" t="n"/>
      <c r="Z46" s="364" t="n"/>
    </row>
    <row r="47">
      <c r="A47" s="364" t="n"/>
      <c r="B47" s="364" t="n"/>
      <c r="C47" s="364" t="n"/>
      <c r="D47" s="364" t="n"/>
      <c r="E47" s="364" t="n"/>
      <c r="F47" s="364" t="n"/>
      <c r="G47" s="364" t="n"/>
      <c r="H47" s="364" t="n"/>
      <c r="I47" s="364" t="n"/>
      <c r="J47" s="364" t="n"/>
      <c r="K47" s="364" t="n"/>
      <c r="L47" s="364" t="n"/>
      <c r="M47" s="364" t="n"/>
      <c r="N47" s="364" t="n"/>
      <c r="O47" s="364" t="n"/>
      <c r="P47" s="364" t="n"/>
      <c r="Q47" s="364" t="n"/>
      <c r="R47" s="364" t="n"/>
      <c r="S47" s="364" t="n"/>
      <c r="T47" s="364" t="n"/>
      <c r="U47" s="364" t="n"/>
      <c r="V47" s="364" t="n"/>
      <c r="W47" s="364" t="n"/>
      <c r="X47" s="364" t="n"/>
      <c r="Y47" s="364" t="n"/>
      <c r="Z47" s="364" t="n"/>
    </row>
    <row r="48">
      <c r="A48" s="364" t="n"/>
      <c r="B48" s="364" t="n"/>
      <c r="C48" s="364" t="n"/>
      <c r="D48" s="364" t="n"/>
      <c r="E48" s="364" t="n"/>
      <c r="F48" s="364" t="n"/>
      <c r="G48" s="364" t="n"/>
      <c r="H48" s="364" t="n"/>
      <c r="I48" s="364" t="n"/>
      <c r="J48" s="364" t="n"/>
      <c r="K48" s="364" t="n"/>
      <c r="L48" s="364" t="n"/>
      <c r="M48" s="364" t="n"/>
      <c r="N48" s="364" t="n"/>
      <c r="O48" s="364" t="n"/>
      <c r="P48" s="364" t="n"/>
      <c r="Q48" s="364" t="n"/>
      <c r="R48" s="364" t="n"/>
      <c r="S48" s="364" t="n"/>
      <c r="T48" s="364" t="n"/>
      <c r="U48" s="364" t="n"/>
      <c r="V48" s="364" t="n"/>
      <c r="W48" s="364" t="n"/>
      <c r="X48" s="364" t="n"/>
      <c r="Y48" s="364" t="n"/>
      <c r="Z48" s="364" t="n"/>
    </row>
    <row r="49">
      <c r="A49" s="364" t="n"/>
      <c r="B49" s="364" t="n"/>
      <c r="C49" s="364" t="n"/>
      <c r="D49" s="364" t="n"/>
      <c r="E49" s="364" t="n"/>
      <c r="F49" s="364" t="n"/>
      <c r="G49" s="364" t="n"/>
      <c r="H49" s="364" t="n"/>
      <c r="I49" s="364" t="n"/>
      <c r="J49" s="364" t="n"/>
      <c r="K49" s="364" t="n"/>
      <c r="L49" s="364" t="n"/>
      <c r="M49" s="364" t="n"/>
      <c r="N49" s="364" t="n"/>
      <c r="O49" s="364" t="n"/>
      <c r="P49" s="364" t="n"/>
      <c r="Q49" s="364" t="n"/>
      <c r="R49" s="364" t="n"/>
      <c r="S49" s="364" t="n"/>
      <c r="T49" s="364" t="n"/>
      <c r="U49" s="364" t="n"/>
      <c r="V49" s="364" t="n"/>
      <c r="W49" s="364" t="n"/>
      <c r="X49" s="364" t="n"/>
      <c r="Y49" s="364" t="n"/>
      <c r="Z49" s="364" t="n"/>
    </row>
    <row r="50">
      <c r="A50" s="364" t="n"/>
      <c r="B50" s="364" t="n"/>
      <c r="C50" s="364" t="n"/>
      <c r="D50" s="364" t="n"/>
      <c r="E50" s="364" t="n"/>
      <c r="F50" s="364" t="n"/>
      <c r="G50" s="364" t="n"/>
      <c r="H50" s="364" t="n"/>
      <c r="I50" s="364" t="n"/>
      <c r="J50" s="364" t="n"/>
      <c r="K50" s="364" t="n"/>
      <c r="L50" s="364" t="n"/>
      <c r="M50" s="364" t="n"/>
      <c r="N50" s="364" t="n"/>
      <c r="O50" s="364" t="n"/>
      <c r="P50" s="364" t="n"/>
      <c r="Q50" s="364" t="n"/>
      <c r="R50" s="364" t="n"/>
      <c r="S50" s="364" t="n"/>
      <c r="T50" s="364" t="n"/>
      <c r="U50" s="364" t="n"/>
      <c r="V50" s="364" t="n"/>
      <c r="W50" s="364" t="n"/>
      <c r="X50" s="364" t="n"/>
      <c r="Y50" s="364" t="n"/>
      <c r="Z50" s="364" t="n"/>
    </row>
    <row r="51">
      <c r="A51" s="364" t="n"/>
      <c r="B51" s="364" t="n"/>
      <c r="C51" s="364" t="n"/>
      <c r="D51" s="364" t="n"/>
      <c r="E51" s="364" t="n"/>
      <c r="F51" s="364" t="n"/>
      <c r="G51" s="364" t="n"/>
      <c r="H51" s="364" t="n"/>
      <c r="I51" s="364" t="n"/>
      <c r="J51" s="364" t="n"/>
      <c r="K51" s="364" t="n"/>
      <c r="L51" s="364" t="n"/>
      <c r="M51" s="364" t="n"/>
      <c r="N51" s="364" t="n"/>
      <c r="O51" s="364" t="n"/>
      <c r="P51" s="364" t="n"/>
      <c r="Q51" s="364" t="n"/>
      <c r="R51" s="364" t="n"/>
      <c r="S51" s="364" t="n"/>
      <c r="T51" s="364" t="n"/>
      <c r="U51" s="364" t="n"/>
      <c r="V51" s="364" t="n"/>
      <c r="W51" s="364" t="n"/>
      <c r="X51" s="364" t="n"/>
      <c r="Y51" s="364" t="n"/>
      <c r="Z51" s="364" t="n"/>
    </row>
    <row r="52">
      <c r="A52" s="364" t="n"/>
      <c r="B52" s="364" t="n"/>
      <c r="C52" s="364" t="n"/>
      <c r="D52" s="364" t="n"/>
      <c r="E52" s="364" t="n"/>
      <c r="F52" s="364" t="n"/>
      <c r="G52" s="364" t="n"/>
      <c r="H52" s="364" t="n"/>
      <c r="I52" s="364" t="n"/>
      <c r="J52" s="364" t="n"/>
      <c r="K52" s="364" t="n"/>
      <c r="L52" s="364" t="n"/>
      <c r="M52" s="364" t="n"/>
      <c r="N52" s="364" t="n"/>
      <c r="O52" s="364" t="n"/>
      <c r="P52" s="364" t="n"/>
      <c r="Q52" s="364" t="n"/>
      <c r="R52" s="364" t="n"/>
      <c r="S52" s="364" t="n"/>
      <c r="T52" s="364" t="n"/>
      <c r="U52" s="364" t="n"/>
      <c r="V52" s="364" t="n"/>
      <c r="W52" s="364" t="n"/>
      <c r="X52" s="364" t="n"/>
      <c r="Y52" s="364" t="n"/>
      <c r="Z52" s="364" t="n"/>
    </row>
    <row r="53">
      <c r="A53" s="364" t="n"/>
      <c r="B53" s="364" t="n"/>
      <c r="C53" s="364" t="n"/>
      <c r="D53" s="364" t="n"/>
      <c r="E53" s="364" t="n"/>
      <c r="F53" s="364" t="n"/>
      <c r="G53" s="364" t="n"/>
      <c r="H53" s="364" t="n"/>
      <c r="I53" s="364" t="n"/>
      <c r="J53" s="364" t="n"/>
      <c r="K53" s="364" t="n"/>
      <c r="L53" s="364" t="n"/>
      <c r="M53" s="364" t="n"/>
      <c r="N53" s="364" t="n"/>
      <c r="O53" s="364" t="n"/>
      <c r="P53" s="364" t="n"/>
      <c r="Q53" s="364" t="n"/>
      <c r="R53" s="364" t="n"/>
      <c r="S53" s="364" t="n"/>
      <c r="T53" s="364" t="n"/>
      <c r="U53" s="364" t="n"/>
      <c r="V53" s="364" t="n"/>
      <c r="W53" s="364" t="n"/>
      <c r="X53" s="364" t="n"/>
      <c r="Y53" s="364" t="n"/>
      <c r="Z53" s="364" t="n"/>
    </row>
    <row r="54">
      <c r="A54" s="364" t="n"/>
      <c r="B54" s="364" t="n"/>
      <c r="C54" s="364" t="n"/>
      <c r="D54" s="364" t="n"/>
      <c r="E54" s="364" t="n"/>
      <c r="F54" s="364" t="n"/>
      <c r="G54" s="364" t="n"/>
      <c r="H54" s="364" t="n"/>
      <c r="I54" s="364" t="n"/>
      <c r="J54" s="364" t="n"/>
      <c r="K54" s="364" t="n"/>
      <c r="L54" s="364" t="n"/>
      <c r="M54" s="364" t="n"/>
      <c r="N54" s="364" t="n"/>
      <c r="O54" s="364" t="n"/>
      <c r="P54" s="364" t="n"/>
      <c r="Q54" s="364" t="n"/>
      <c r="R54" s="364" t="n"/>
      <c r="S54" s="364" t="n"/>
      <c r="T54" s="364" t="n"/>
      <c r="U54" s="364" t="n"/>
      <c r="V54" s="364" t="n"/>
      <c r="W54" s="364" t="n"/>
      <c r="X54" s="364" t="n"/>
      <c r="Y54" s="364" t="n"/>
      <c r="Z54" s="364" t="n"/>
    </row>
    <row r="55">
      <c r="A55" s="364" t="n"/>
      <c r="B55" s="364" t="n"/>
      <c r="C55" s="364" t="n"/>
      <c r="D55" s="364" t="n"/>
      <c r="E55" s="364" t="n"/>
      <c r="F55" s="364" t="n"/>
      <c r="G55" s="364" t="n"/>
      <c r="H55" s="364" t="n"/>
      <c r="I55" s="364" t="n"/>
      <c r="J55" s="364" t="n"/>
      <c r="K55" s="364" t="n"/>
      <c r="L55" s="364" t="n"/>
      <c r="M55" s="364" t="n"/>
      <c r="N55" s="364" t="n"/>
      <c r="O55" s="364" t="n"/>
      <c r="P55" s="364" t="n"/>
      <c r="Q55" s="364" t="n"/>
      <c r="R55" s="364" t="n"/>
      <c r="S55" s="364" t="n"/>
      <c r="T55" s="364" t="n"/>
      <c r="U55" s="364" t="n"/>
      <c r="V55" s="364" t="n"/>
      <c r="W55" s="364" t="n"/>
      <c r="X55" s="364" t="n"/>
      <c r="Y55" s="364" t="n"/>
      <c r="Z55" s="364" t="n"/>
    </row>
    <row r="56">
      <c r="A56" s="364" t="n"/>
      <c r="B56" s="364" t="n"/>
      <c r="C56" s="364" t="n"/>
      <c r="D56" s="364" t="n"/>
      <c r="E56" s="364" t="n"/>
      <c r="F56" s="364" t="n"/>
      <c r="G56" s="364" t="n"/>
      <c r="H56" s="364" t="n"/>
      <c r="I56" s="364" t="n"/>
      <c r="J56" s="364" t="n"/>
      <c r="K56" s="364" t="n"/>
      <c r="L56" s="364" t="n"/>
      <c r="M56" s="364" t="n"/>
      <c r="N56" s="364" t="n"/>
      <c r="O56" s="364" t="n"/>
      <c r="P56" s="364" t="n"/>
      <c r="Q56" s="364" t="n"/>
      <c r="R56" s="364" t="n"/>
      <c r="S56" s="364" t="n"/>
      <c r="T56" s="364" t="n"/>
      <c r="U56" s="364" t="n"/>
      <c r="V56" s="364" t="n"/>
      <c r="W56" s="364" t="n"/>
      <c r="X56" s="364" t="n"/>
      <c r="Y56" s="364" t="n"/>
      <c r="Z56" s="364" t="n"/>
    </row>
    <row r="57">
      <c r="A57" s="364" t="n"/>
      <c r="B57" s="364" t="n"/>
      <c r="C57" s="364" t="n"/>
      <c r="D57" s="364" t="n"/>
      <c r="E57" s="364" t="n"/>
      <c r="F57" s="364" t="n"/>
      <c r="G57" s="364" t="n"/>
      <c r="H57" s="364" t="n"/>
      <c r="I57" s="364" t="n"/>
      <c r="J57" s="364" t="n"/>
      <c r="K57" s="364" t="n"/>
      <c r="L57" s="364" t="n"/>
      <c r="M57" s="364" t="n"/>
      <c r="N57" s="364" t="n"/>
      <c r="O57" s="364" t="n"/>
      <c r="P57" s="364" t="n"/>
      <c r="Q57" s="364" t="n"/>
      <c r="R57" s="364" t="n"/>
      <c r="S57" s="364" t="n"/>
      <c r="T57" s="364" t="n"/>
      <c r="U57" s="364" t="n"/>
      <c r="V57" s="364" t="n"/>
      <c r="W57" s="364" t="n"/>
      <c r="X57" s="364" t="n"/>
      <c r="Y57" s="364" t="n"/>
      <c r="Z57" s="364" t="n"/>
    </row>
    <row r="58">
      <c r="A58" s="364" t="n"/>
      <c r="B58" s="364" t="n"/>
      <c r="C58" s="364" t="n"/>
      <c r="D58" s="364" t="n"/>
      <c r="E58" s="364" t="n"/>
      <c r="F58" s="364" t="n"/>
      <c r="G58" s="364" t="n"/>
      <c r="H58" s="364" t="n"/>
      <c r="I58" s="364" t="n"/>
      <c r="J58" s="364" t="n"/>
      <c r="K58" s="364" t="n"/>
      <c r="L58" s="364" t="n"/>
      <c r="M58" s="364" t="n"/>
      <c r="N58" s="364" t="n"/>
      <c r="O58" s="364" t="n"/>
      <c r="P58" s="364" t="n"/>
      <c r="Q58" s="364" t="n"/>
      <c r="R58" s="364" t="n"/>
      <c r="S58" s="364" t="n"/>
      <c r="T58" s="364" t="n"/>
      <c r="U58" s="364" t="n"/>
      <c r="V58" s="364" t="n"/>
      <c r="W58" s="364" t="n"/>
      <c r="X58" s="364" t="n"/>
      <c r="Y58" s="364" t="n"/>
      <c r="Z58" s="364" t="n"/>
    </row>
    <row r="59">
      <c r="A59" s="364" t="n"/>
      <c r="B59" s="364" t="n"/>
      <c r="C59" s="364" t="n"/>
      <c r="D59" s="364" t="n"/>
      <c r="E59" s="364" t="n"/>
      <c r="F59" s="364" t="n"/>
      <c r="G59" s="364" t="n"/>
      <c r="H59" s="364" t="n"/>
      <c r="I59" s="364" t="n"/>
      <c r="J59" s="364" t="n"/>
      <c r="K59" s="364" t="n"/>
      <c r="L59" s="364" t="n"/>
      <c r="M59" s="364" t="n"/>
      <c r="N59" s="364" t="n"/>
      <c r="O59" s="364" t="n"/>
      <c r="P59" s="364" t="n"/>
      <c r="Q59" s="364" t="n"/>
      <c r="R59" s="364" t="n"/>
      <c r="S59" s="364" t="n"/>
      <c r="T59" s="364" t="n"/>
      <c r="U59" s="364" t="n"/>
      <c r="V59" s="364" t="n"/>
      <c r="W59" s="364" t="n"/>
      <c r="X59" s="364" t="n"/>
      <c r="Y59" s="364" t="n"/>
      <c r="Z59" s="364" t="n"/>
    </row>
    <row r="60">
      <c r="A60" s="364" t="n"/>
      <c r="B60" s="364" t="n"/>
      <c r="C60" s="364" t="n"/>
      <c r="D60" s="364" t="n"/>
      <c r="E60" s="364" t="n"/>
      <c r="F60" s="364" t="n"/>
      <c r="G60" s="364" t="n"/>
      <c r="H60" s="364" t="n"/>
      <c r="I60" s="364" t="n"/>
      <c r="J60" s="364" t="n"/>
      <c r="K60" s="364" t="n"/>
      <c r="L60" s="364" t="n"/>
      <c r="M60" s="364" t="n"/>
      <c r="N60" s="364" t="n"/>
      <c r="O60" s="364" t="n"/>
      <c r="P60" s="364" t="n"/>
      <c r="Q60" s="364" t="n"/>
      <c r="R60" s="364" t="n"/>
      <c r="S60" s="364" t="n"/>
      <c r="T60" s="364" t="n"/>
      <c r="U60" s="364" t="n"/>
      <c r="V60" s="364" t="n"/>
      <c r="W60" s="364" t="n"/>
      <c r="X60" s="364" t="n"/>
      <c r="Y60" s="364" t="n"/>
      <c r="Z60" s="364" t="n"/>
    </row>
    <row r="61">
      <c r="A61" s="364" t="n"/>
      <c r="B61" s="364" t="n"/>
      <c r="C61" s="364" t="n"/>
      <c r="D61" s="364" t="n"/>
      <c r="E61" s="364" t="n"/>
      <c r="F61" s="364" t="n"/>
      <c r="G61" s="364" t="n"/>
      <c r="H61" s="364" t="n"/>
      <c r="I61" s="364" t="n"/>
      <c r="J61" s="364" t="n"/>
      <c r="K61" s="364" t="n"/>
      <c r="L61" s="364" t="n"/>
      <c r="M61" s="364" t="n"/>
      <c r="N61" s="364" t="n"/>
      <c r="O61" s="364" t="n"/>
      <c r="P61" s="364" t="n"/>
      <c r="Q61" s="364" t="n"/>
      <c r="R61" s="364" t="n"/>
      <c r="S61" s="364" t="n"/>
      <c r="T61" s="364" t="n"/>
      <c r="U61" s="364" t="n"/>
      <c r="V61" s="364" t="n"/>
      <c r="W61" s="364" t="n"/>
      <c r="X61" s="364" t="n"/>
      <c r="Y61" s="364" t="n"/>
      <c r="Z61" s="364" t="n"/>
    </row>
    <row r="62">
      <c r="A62" s="364" t="n"/>
      <c r="B62" s="364" t="n"/>
      <c r="C62" s="364" t="n"/>
      <c r="D62" s="364" t="n"/>
      <c r="E62" s="364" t="n"/>
      <c r="F62" s="364" t="n"/>
      <c r="G62" s="364" t="n"/>
      <c r="H62" s="364" t="n"/>
      <c r="I62" s="364" t="n"/>
      <c r="J62" s="364" t="n"/>
      <c r="K62" s="364" t="n"/>
      <c r="L62" s="364" t="n"/>
      <c r="M62" s="364" t="n"/>
      <c r="N62" s="364" t="n"/>
      <c r="O62" s="364" t="n"/>
      <c r="P62" s="364" t="n"/>
      <c r="Q62" s="364" t="n"/>
      <c r="R62" s="364" t="n"/>
      <c r="S62" s="364" t="n"/>
      <c r="T62" s="364" t="n"/>
      <c r="U62" s="364" t="n"/>
      <c r="V62" s="364" t="n"/>
      <c r="W62" s="364" t="n"/>
      <c r="X62" s="364" t="n"/>
      <c r="Y62" s="364" t="n"/>
      <c r="Z62" s="364" t="n"/>
    </row>
    <row r="63">
      <c r="A63" s="364" t="n"/>
      <c r="B63" s="364" t="n"/>
      <c r="C63" s="364" t="n"/>
      <c r="D63" s="364" t="n"/>
      <c r="E63" s="364" t="n"/>
      <c r="F63" s="364" t="n"/>
      <c r="G63" s="364" t="n"/>
      <c r="H63" s="364" t="n"/>
      <c r="I63" s="364" t="n"/>
      <c r="J63" s="364" t="n"/>
      <c r="K63" s="364" t="n"/>
      <c r="L63" s="364" t="n"/>
      <c r="M63" s="364" t="n"/>
      <c r="N63" s="364" t="n"/>
      <c r="O63" s="364" t="n"/>
      <c r="P63" s="364" t="n"/>
      <c r="Q63" s="364" t="n"/>
      <c r="R63" s="364" t="n"/>
      <c r="S63" s="364" t="n"/>
      <c r="T63" s="364" t="n"/>
      <c r="U63" s="364" t="n"/>
      <c r="V63" s="364" t="n"/>
      <c r="W63" s="364" t="n"/>
      <c r="X63" s="364" t="n"/>
      <c r="Y63" s="364" t="n"/>
      <c r="Z63" s="364" t="n"/>
    </row>
    <row r="64">
      <c r="A64" s="364" t="n"/>
      <c r="B64" s="364" t="n"/>
      <c r="C64" s="364" t="n"/>
      <c r="D64" s="364" t="n"/>
      <c r="E64" s="364" t="n"/>
      <c r="F64" s="364" t="n"/>
      <c r="G64" s="364" t="n"/>
      <c r="H64" s="364" t="n"/>
      <c r="I64" s="364" t="n"/>
      <c r="J64" s="364" t="n"/>
      <c r="K64" s="364" t="n"/>
      <c r="L64" s="364" t="n"/>
      <c r="M64" s="364" t="n"/>
      <c r="N64" s="364" t="n"/>
      <c r="O64" s="364" t="n"/>
      <c r="P64" s="364" t="n"/>
      <c r="Q64" s="364" t="n"/>
      <c r="R64" s="364" t="n"/>
      <c r="S64" s="364" t="n"/>
      <c r="T64" s="364" t="n"/>
      <c r="U64" s="364" t="n"/>
      <c r="V64" s="364" t="n"/>
      <c r="W64" s="364" t="n"/>
      <c r="X64" s="364" t="n"/>
      <c r="Y64" s="364" t="n"/>
      <c r="Z64" s="364" t="n"/>
    </row>
    <row r="65">
      <c r="A65" s="364" t="n"/>
      <c r="B65" s="364" t="n"/>
      <c r="C65" s="364" t="n"/>
      <c r="D65" s="364" t="n"/>
      <c r="E65" s="364" t="n"/>
      <c r="F65" s="364" t="n"/>
      <c r="G65" s="364" t="n"/>
      <c r="H65" s="364" t="n"/>
      <c r="I65" s="364" t="n"/>
      <c r="J65" s="364" t="n"/>
      <c r="K65" s="364" t="n"/>
      <c r="L65" s="364" t="n"/>
      <c r="M65" s="364" t="n"/>
      <c r="N65" s="364" t="n"/>
      <c r="O65" s="364" t="n"/>
      <c r="P65" s="364" t="n"/>
      <c r="Q65" s="364" t="n"/>
      <c r="R65" s="364" t="n"/>
      <c r="S65" s="364" t="n"/>
      <c r="T65" s="364" t="n"/>
      <c r="U65" s="364" t="n"/>
      <c r="V65" s="364" t="n"/>
      <c r="W65" s="364" t="n"/>
      <c r="X65" s="364" t="n"/>
      <c r="Y65" s="364" t="n"/>
      <c r="Z65" s="364" t="n"/>
    </row>
    <row r="66">
      <c r="A66" s="364" t="n"/>
      <c r="B66" s="364" t="n"/>
      <c r="C66" s="364" t="n"/>
      <c r="D66" s="364" t="n"/>
      <c r="E66" s="364" t="n"/>
      <c r="F66" s="364" t="n"/>
      <c r="G66" s="364" t="n"/>
      <c r="H66" s="364" t="n"/>
      <c r="I66" s="364" t="n"/>
      <c r="J66" s="364" t="n"/>
      <c r="K66" s="364" t="n"/>
      <c r="L66" s="364" t="n"/>
      <c r="M66" s="364" t="n"/>
      <c r="N66" s="364" t="n"/>
      <c r="O66" s="364" t="n"/>
      <c r="P66" s="364" t="n"/>
      <c r="Q66" s="364" t="n"/>
      <c r="R66" s="364" t="n"/>
      <c r="S66" s="364" t="n"/>
      <c r="T66" s="364" t="n"/>
      <c r="U66" s="364" t="n"/>
      <c r="V66" s="364" t="n"/>
      <c r="W66" s="364" t="n"/>
      <c r="X66" s="364" t="n"/>
      <c r="Y66" s="364" t="n"/>
      <c r="Z66" s="364" t="n"/>
    </row>
    <row r="67">
      <c r="A67" s="364" t="n"/>
      <c r="B67" s="364" t="n"/>
      <c r="C67" s="364" t="n"/>
      <c r="D67" s="364" t="n"/>
      <c r="E67" s="364" t="n"/>
      <c r="F67" s="364" t="n"/>
      <c r="G67" s="364" t="n"/>
      <c r="H67" s="364" t="n"/>
      <c r="I67" s="364" t="n"/>
      <c r="J67" s="364" t="n"/>
      <c r="K67" s="364" t="n"/>
      <c r="L67" s="364" t="n"/>
      <c r="M67" s="364" t="n"/>
      <c r="N67" s="364" t="n"/>
      <c r="O67" s="364" t="n"/>
      <c r="P67" s="364" t="n"/>
      <c r="Q67" s="364" t="n"/>
      <c r="R67" s="364" t="n"/>
      <c r="S67" s="364" t="n"/>
      <c r="T67" s="364" t="n"/>
      <c r="U67" s="364" t="n"/>
      <c r="V67" s="364" t="n"/>
      <c r="W67" s="364" t="n"/>
      <c r="X67" s="364" t="n"/>
      <c r="Y67" s="364" t="n"/>
      <c r="Z67" s="364" t="n"/>
    </row>
    <row r="68">
      <c r="A68" s="364" t="n"/>
      <c r="B68" s="364" t="n"/>
      <c r="C68" s="364" t="n"/>
      <c r="D68" s="364" t="n"/>
      <c r="E68" s="364" t="n"/>
      <c r="F68" s="364" t="n"/>
      <c r="G68" s="364" t="n"/>
      <c r="H68" s="364" t="n"/>
      <c r="I68" s="364" t="n"/>
      <c r="J68" s="364" t="n"/>
      <c r="K68" s="364" t="n"/>
      <c r="L68" s="364" t="n"/>
      <c r="M68" s="364" t="n"/>
      <c r="N68" s="364" t="n"/>
      <c r="O68" s="364" t="n"/>
      <c r="P68" s="364" t="n"/>
      <c r="Q68" s="364" t="n"/>
      <c r="R68" s="364" t="n"/>
      <c r="S68" s="364" t="n"/>
      <c r="T68" s="364" t="n"/>
      <c r="U68" s="364" t="n"/>
      <c r="V68" s="364" t="n"/>
      <c r="W68" s="364" t="n"/>
      <c r="X68" s="364" t="n"/>
      <c r="Y68" s="364" t="n"/>
      <c r="Z68" s="364" t="n"/>
    </row>
    <row r="69">
      <c r="A69" s="364" t="n"/>
      <c r="B69" s="364" t="n"/>
      <c r="C69" s="364" t="n"/>
      <c r="D69" s="364" t="n"/>
      <c r="E69" s="364" t="n"/>
      <c r="F69" s="364" t="n"/>
      <c r="G69" s="364" t="n"/>
      <c r="H69" s="364" t="n"/>
      <c r="I69" s="364" t="n"/>
      <c r="J69" s="364" t="n"/>
      <c r="K69" s="364" t="n"/>
      <c r="L69" s="364" t="n"/>
      <c r="M69" s="364" t="n"/>
      <c r="N69" s="364" t="n"/>
      <c r="O69" s="364" t="n"/>
      <c r="P69" s="364" t="n"/>
      <c r="Q69" s="364" t="n"/>
      <c r="R69" s="364" t="n"/>
      <c r="S69" s="364" t="n"/>
      <c r="T69" s="364" t="n"/>
      <c r="U69" s="364" t="n"/>
      <c r="V69" s="364" t="n"/>
      <c r="W69" s="364" t="n"/>
      <c r="X69" s="364" t="n"/>
      <c r="Y69" s="364" t="n"/>
      <c r="Z69" s="364" t="n"/>
    </row>
    <row r="70">
      <c r="A70" s="364" t="n"/>
      <c r="B70" s="364" t="n"/>
      <c r="C70" s="364" t="n"/>
      <c r="D70" s="364" t="n"/>
      <c r="E70" s="364" t="n"/>
      <c r="F70" s="364" t="n"/>
      <c r="G70" s="364" t="n"/>
      <c r="H70" s="364" t="n"/>
      <c r="I70" s="364" t="n"/>
      <c r="J70" s="364" t="n"/>
      <c r="K70" s="364" t="n"/>
      <c r="L70" s="364" t="n"/>
      <c r="M70" s="364" t="n"/>
      <c r="N70" s="364" t="n"/>
      <c r="O70" s="364" t="n"/>
      <c r="P70" s="364" t="n"/>
      <c r="Q70" s="364" t="n"/>
      <c r="R70" s="364" t="n"/>
      <c r="S70" s="364" t="n"/>
      <c r="T70" s="364" t="n"/>
      <c r="U70" s="364" t="n"/>
      <c r="V70" s="364" t="n"/>
      <c r="W70" s="364" t="n"/>
      <c r="X70" s="364" t="n"/>
      <c r="Y70" s="364" t="n"/>
      <c r="Z70" s="364" t="n"/>
    </row>
    <row r="71">
      <c r="A71" s="364" t="n"/>
      <c r="B71" s="364" t="n"/>
      <c r="C71" s="364" t="n"/>
      <c r="D71" s="364" t="n"/>
      <c r="E71" s="364" t="n"/>
      <c r="F71" s="364" t="n"/>
      <c r="G71" s="364" t="n"/>
      <c r="H71" s="364" t="n"/>
      <c r="I71" s="364" t="n"/>
      <c r="J71" s="364" t="n"/>
      <c r="K71" s="364" t="n"/>
      <c r="L71" s="364" t="n"/>
      <c r="M71" s="364" t="n"/>
      <c r="N71" s="364" t="n"/>
      <c r="O71" s="364" t="n"/>
      <c r="P71" s="364" t="n"/>
      <c r="Q71" s="364" t="n"/>
      <c r="R71" s="364" t="n"/>
      <c r="S71" s="364" t="n"/>
      <c r="T71" s="364" t="n"/>
      <c r="U71" s="364" t="n"/>
      <c r="V71" s="364" t="n"/>
      <c r="W71" s="364" t="n"/>
      <c r="X71" s="364" t="n"/>
      <c r="Y71" s="364" t="n"/>
      <c r="Z71" s="364" t="n"/>
    </row>
    <row r="72">
      <c r="A72" s="364" t="n"/>
      <c r="B72" s="364" t="n"/>
      <c r="C72" s="364" t="n"/>
      <c r="D72" s="364" t="n"/>
      <c r="E72" s="364" t="n"/>
      <c r="F72" s="364" t="n"/>
      <c r="G72" s="364" t="n"/>
      <c r="H72" s="364" t="n"/>
      <c r="I72" s="364" t="n"/>
      <c r="J72" s="364" t="n"/>
      <c r="K72" s="364" t="n"/>
      <c r="L72" s="364" t="n"/>
      <c r="M72" s="364" t="n"/>
      <c r="N72" s="364" t="n"/>
      <c r="O72" s="364" t="n"/>
      <c r="P72" s="364" t="n"/>
      <c r="Q72" s="364" t="n"/>
      <c r="R72" s="364" t="n"/>
      <c r="S72" s="364" t="n"/>
      <c r="T72" s="364" t="n"/>
      <c r="U72" s="364" t="n"/>
      <c r="V72" s="364" t="n"/>
      <c r="W72" s="364" t="n"/>
      <c r="X72" s="364" t="n"/>
      <c r="Y72" s="364" t="n"/>
      <c r="Z72" s="364" t="n"/>
    </row>
    <row r="73">
      <c r="A73" s="364" t="n"/>
      <c r="B73" s="364" t="n"/>
      <c r="C73" s="364" t="n"/>
      <c r="D73" s="364" t="n"/>
      <c r="E73" s="364" t="n"/>
      <c r="F73" s="364" t="n"/>
      <c r="G73" s="364" t="n"/>
      <c r="H73" s="364" t="n"/>
      <c r="I73" s="364" t="n"/>
      <c r="J73" s="364" t="n"/>
      <c r="K73" s="364" t="n"/>
      <c r="L73" s="364" t="n"/>
      <c r="M73" s="364" t="n"/>
      <c r="N73" s="364" t="n"/>
      <c r="O73" s="364" t="n"/>
      <c r="P73" s="364" t="n"/>
      <c r="Q73" s="364" t="n"/>
      <c r="R73" s="364" t="n"/>
      <c r="S73" s="364" t="n"/>
      <c r="T73" s="364" t="n"/>
      <c r="U73" s="364" t="n"/>
      <c r="V73" s="364" t="n"/>
      <c r="W73" s="364" t="n"/>
      <c r="X73" s="364" t="n"/>
      <c r="Y73" s="364" t="n"/>
      <c r="Z73" s="364" t="n"/>
    </row>
    <row r="74">
      <c r="A74" s="364" t="n"/>
      <c r="B74" s="364" t="n"/>
      <c r="C74" s="364" t="n"/>
      <c r="D74" s="364" t="n"/>
      <c r="E74" s="364" t="n"/>
      <c r="F74" s="364" t="n"/>
      <c r="G74" s="364" t="n"/>
      <c r="H74" s="364" t="n"/>
      <c r="I74" s="364" t="n"/>
      <c r="J74" s="364" t="n"/>
      <c r="K74" s="364" t="n"/>
      <c r="L74" s="364" t="n"/>
      <c r="M74" s="364" t="n"/>
      <c r="N74" s="364" t="n"/>
      <c r="O74" s="364" t="n"/>
      <c r="P74" s="364" t="n"/>
      <c r="Q74" s="364" t="n"/>
      <c r="R74" s="364" t="n"/>
      <c r="S74" s="364" t="n"/>
      <c r="T74" s="364" t="n"/>
      <c r="U74" s="364" t="n"/>
      <c r="V74" s="364" t="n"/>
      <c r="W74" s="364" t="n"/>
      <c r="X74" s="364" t="n"/>
      <c r="Y74" s="364" t="n"/>
      <c r="Z74" s="364" t="n"/>
    </row>
    <row r="75">
      <c r="A75" s="364" t="n"/>
      <c r="B75" s="364" t="n"/>
      <c r="C75" s="364" t="n"/>
      <c r="D75" s="364" t="n"/>
      <c r="E75" s="364" t="n"/>
      <c r="F75" s="364" t="n"/>
      <c r="G75" s="364" t="n"/>
      <c r="H75" s="364" t="n"/>
      <c r="I75" s="364" t="n"/>
      <c r="J75" s="364" t="n"/>
      <c r="K75" s="364" t="n"/>
      <c r="L75" s="364" t="n"/>
      <c r="M75" s="364" t="n"/>
      <c r="N75" s="364" t="n"/>
      <c r="O75" s="364" t="n"/>
      <c r="P75" s="364" t="n"/>
      <c r="Q75" s="364" t="n"/>
      <c r="R75" s="364" t="n"/>
      <c r="S75" s="364" t="n"/>
      <c r="T75" s="364" t="n"/>
      <c r="U75" s="364" t="n"/>
      <c r="V75" s="364" t="n"/>
      <c r="W75" s="364" t="n"/>
      <c r="X75" s="364" t="n"/>
      <c r="Y75" s="364" t="n"/>
      <c r="Z75" s="364" t="n"/>
    </row>
    <row r="76">
      <c r="A76" s="364" t="n"/>
      <c r="B76" s="364" t="n"/>
      <c r="C76" s="364" t="n"/>
      <c r="D76" s="364" t="n"/>
      <c r="E76" s="364" t="n"/>
      <c r="F76" s="364" t="n"/>
      <c r="G76" s="364" t="n"/>
      <c r="H76" s="364" t="n"/>
      <c r="I76" s="364" t="n"/>
      <c r="J76" s="364" t="n"/>
      <c r="K76" s="364" t="n"/>
      <c r="L76" s="364" t="n"/>
      <c r="M76" s="364" t="n"/>
      <c r="N76" s="364" t="n"/>
      <c r="O76" s="364" t="n"/>
      <c r="P76" s="364" t="n"/>
      <c r="Q76" s="364" t="n"/>
      <c r="R76" s="364" t="n"/>
      <c r="S76" s="364" t="n"/>
      <c r="T76" s="364" t="n"/>
      <c r="U76" s="364" t="n"/>
      <c r="V76" s="364" t="n"/>
      <c r="W76" s="364" t="n"/>
      <c r="X76" s="364" t="n"/>
      <c r="Y76" s="364" t="n"/>
      <c r="Z76" s="364" t="n"/>
    </row>
    <row r="77">
      <c r="A77" s="364" t="n"/>
      <c r="B77" s="364" t="n"/>
      <c r="C77" s="364" t="n"/>
      <c r="D77" s="364" t="n"/>
      <c r="E77" s="364" t="n"/>
      <c r="F77" s="364" t="n"/>
      <c r="G77" s="364" t="n"/>
      <c r="H77" s="364" t="n"/>
      <c r="I77" s="364" t="n"/>
      <c r="J77" s="364" t="n"/>
      <c r="K77" s="364" t="n"/>
      <c r="L77" s="364" t="n"/>
      <c r="M77" s="364" t="n"/>
      <c r="N77" s="364" t="n"/>
      <c r="O77" s="364" t="n"/>
      <c r="P77" s="364" t="n"/>
      <c r="Q77" s="364" t="n"/>
      <c r="R77" s="364" t="n"/>
      <c r="S77" s="364" t="n"/>
      <c r="T77" s="364" t="n"/>
      <c r="U77" s="364" t="n"/>
      <c r="V77" s="364" t="n"/>
      <c r="W77" s="364" t="n"/>
      <c r="X77" s="364" t="n"/>
      <c r="Y77" s="364" t="n"/>
      <c r="Z77" s="364" t="n"/>
    </row>
    <row r="78">
      <c r="A78" s="364" t="n"/>
      <c r="B78" s="364" t="n"/>
      <c r="C78" s="364" t="n"/>
      <c r="D78" s="364" t="n"/>
      <c r="E78" s="364" t="n"/>
      <c r="F78" s="364" t="n"/>
      <c r="G78" s="364" t="n"/>
      <c r="H78" s="364" t="n"/>
      <c r="I78" s="364" t="n"/>
      <c r="J78" s="364" t="n"/>
      <c r="K78" s="364" t="n"/>
      <c r="L78" s="364" t="n"/>
      <c r="M78" s="364" t="n"/>
      <c r="N78" s="364" t="n"/>
      <c r="O78" s="364" t="n"/>
      <c r="P78" s="364" t="n"/>
      <c r="Q78" s="364" t="n"/>
      <c r="R78" s="364" t="n"/>
      <c r="S78" s="364" t="n"/>
      <c r="T78" s="364" t="n"/>
      <c r="U78" s="364" t="n"/>
      <c r="V78" s="364" t="n"/>
      <c r="W78" s="364" t="n"/>
      <c r="X78" s="364" t="n"/>
      <c r="Y78" s="364" t="n"/>
      <c r="Z78" s="364" t="n"/>
    </row>
    <row r="79">
      <c r="A79" s="364" t="n"/>
      <c r="B79" s="364" t="n"/>
      <c r="C79" s="364" t="n"/>
      <c r="D79" s="364" t="n"/>
      <c r="E79" s="364" t="n"/>
      <c r="F79" s="364" t="n"/>
      <c r="G79" s="364" t="n"/>
      <c r="H79" s="364" t="n"/>
      <c r="I79" s="364" t="n"/>
      <c r="J79" s="364" t="n"/>
      <c r="K79" s="364" t="n"/>
      <c r="L79" s="364" t="n"/>
      <c r="M79" s="364" t="n"/>
      <c r="N79" s="364" t="n"/>
      <c r="O79" s="364" t="n"/>
      <c r="P79" s="364" t="n"/>
      <c r="Q79" s="364" t="n"/>
      <c r="R79" s="364" t="n"/>
      <c r="S79" s="364" t="n"/>
      <c r="T79" s="364" t="n"/>
      <c r="U79" s="364" t="n"/>
      <c r="V79" s="364" t="n"/>
      <c r="W79" s="364" t="n"/>
      <c r="X79" s="364" t="n"/>
      <c r="Y79" s="364" t="n"/>
      <c r="Z79" s="364" t="n"/>
    </row>
    <row r="80">
      <c r="A80" s="364" t="n"/>
      <c r="B80" s="364" t="n"/>
      <c r="C80" s="364" t="n"/>
      <c r="D80" s="364" t="n"/>
      <c r="E80" s="364" t="n"/>
      <c r="F80" s="364" t="n"/>
      <c r="G80" s="364" t="n"/>
      <c r="H80" s="364" t="n"/>
      <c r="I80" s="364" t="n"/>
      <c r="J80" s="364" t="n"/>
      <c r="K80" s="364" t="n"/>
      <c r="L80" s="364" t="n"/>
      <c r="M80" s="364" t="n"/>
      <c r="N80" s="364" t="n"/>
      <c r="O80" s="364" t="n"/>
      <c r="P80" s="364" t="n"/>
      <c r="Q80" s="364" t="n"/>
      <c r="R80" s="364" t="n"/>
      <c r="S80" s="364" t="n"/>
      <c r="T80" s="364" t="n"/>
      <c r="U80" s="364" t="n"/>
      <c r="V80" s="364" t="n"/>
      <c r="W80" s="364" t="n"/>
      <c r="X80" s="364" t="n"/>
      <c r="Y80" s="364" t="n"/>
      <c r="Z80" s="364" t="n"/>
    </row>
    <row r="81">
      <c r="A81" s="364" t="n"/>
      <c r="B81" s="364" t="n"/>
      <c r="C81" s="364" t="n"/>
      <c r="D81" s="364" t="n"/>
      <c r="E81" s="364" t="n"/>
      <c r="F81" s="364" t="n"/>
      <c r="G81" s="364" t="n"/>
      <c r="H81" s="364" t="n"/>
      <c r="I81" s="364" t="n"/>
      <c r="J81" s="364" t="n"/>
      <c r="K81" s="364" t="n"/>
      <c r="L81" s="364" t="n"/>
      <c r="M81" s="364" t="n"/>
      <c r="N81" s="364" t="n"/>
      <c r="O81" s="364" t="n"/>
      <c r="P81" s="364" t="n"/>
      <c r="Q81" s="364" t="n"/>
      <c r="R81" s="364" t="n"/>
      <c r="S81" s="364" t="n"/>
      <c r="T81" s="364" t="n"/>
      <c r="U81" s="364" t="n"/>
      <c r="V81" s="364" t="n"/>
      <c r="W81" s="364" t="n"/>
      <c r="X81" s="364" t="n"/>
      <c r="Y81" s="364" t="n"/>
      <c r="Z81" s="364" t="n"/>
    </row>
    <row r="82">
      <c r="A82" s="364" t="n"/>
      <c r="B82" s="364" t="n"/>
      <c r="C82" s="364" t="n"/>
      <c r="D82" s="364" t="n"/>
      <c r="E82" s="364" t="n"/>
      <c r="F82" s="364" t="n"/>
      <c r="G82" s="364" t="n"/>
      <c r="H82" s="364" t="n"/>
      <c r="I82" s="364" t="n"/>
      <c r="J82" s="364" t="n"/>
      <c r="K82" s="364" t="n"/>
      <c r="L82" s="364" t="n"/>
      <c r="M82" s="364" t="n"/>
      <c r="N82" s="364" t="n"/>
      <c r="O82" s="364" t="n"/>
      <c r="P82" s="364" t="n"/>
      <c r="Q82" s="364" t="n"/>
      <c r="R82" s="364" t="n"/>
      <c r="S82" s="364" t="n"/>
      <c r="T82" s="364" t="n"/>
      <c r="U82" s="364" t="n"/>
      <c r="V82" s="364" t="n"/>
      <c r="W82" s="364" t="n"/>
      <c r="X82" s="364" t="n"/>
      <c r="Y82" s="364" t="n"/>
      <c r="Z82" s="364" t="n"/>
    </row>
    <row r="83">
      <c r="A83" s="364" t="n"/>
      <c r="B83" s="364" t="n"/>
      <c r="C83" s="364" t="n"/>
      <c r="D83" s="364" t="n"/>
      <c r="E83" s="364" t="n"/>
      <c r="F83" s="364" t="n"/>
      <c r="G83" s="364" t="n"/>
      <c r="H83" s="364" t="n"/>
      <c r="I83" s="364" t="n"/>
      <c r="J83" s="364" t="n"/>
      <c r="K83" s="364" t="n"/>
      <c r="L83" s="364" t="n"/>
      <c r="M83" s="364" t="n"/>
      <c r="N83" s="364" t="n"/>
      <c r="O83" s="364" t="n"/>
      <c r="P83" s="364" t="n"/>
      <c r="Q83" s="364" t="n"/>
      <c r="R83" s="364" t="n"/>
      <c r="S83" s="364" t="n"/>
      <c r="T83" s="364" t="n"/>
      <c r="U83" s="364" t="n"/>
      <c r="V83" s="364" t="n"/>
      <c r="W83" s="364" t="n"/>
      <c r="X83" s="364" t="n"/>
      <c r="Y83" s="364" t="n"/>
      <c r="Z83" s="364" t="n"/>
    </row>
    <row r="84">
      <c r="A84" s="364" t="n"/>
      <c r="B84" s="364" t="n"/>
      <c r="C84" s="364" t="n"/>
      <c r="D84" s="364" t="n"/>
      <c r="E84" s="364" t="n"/>
      <c r="F84" s="364" t="n"/>
      <c r="G84" s="364" t="n"/>
      <c r="H84" s="364" t="n"/>
      <c r="I84" s="364" t="n"/>
      <c r="J84" s="364" t="n"/>
      <c r="K84" s="364" t="n"/>
      <c r="L84" s="364" t="n"/>
      <c r="M84" s="364" t="n"/>
      <c r="N84" s="364" t="n"/>
      <c r="O84" s="364" t="n"/>
      <c r="P84" s="364" t="n"/>
      <c r="Q84" s="364" t="n"/>
      <c r="R84" s="364" t="n"/>
      <c r="S84" s="364" t="n"/>
      <c r="T84" s="364" t="n"/>
      <c r="U84" s="364" t="n"/>
      <c r="V84" s="364" t="n"/>
      <c r="W84" s="364" t="n"/>
      <c r="X84" s="364" t="n"/>
      <c r="Y84" s="364" t="n"/>
      <c r="Z84" s="364" t="n"/>
    </row>
    <row r="85">
      <c r="A85" s="364" t="n"/>
      <c r="B85" s="364" t="n"/>
      <c r="C85" s="364" t="n"/>
      <c r="D85" s="364" t="n"/>
      <c r="E85" s="364" t="n"/>
      <c r="F85" s="364" t="n"/>
      <c r="G85" s="364" t="n"/>
      <c r="H85" s="364" t="n"/>
      <c r="I85" s="364" t="n"/>
      <c r="J85" s="364" t="n"/>
      <c r="K85" s="364" t="n"/>
      <c r="L85" s="364" t="n"/>
      <c r="M85" s="364" t="n"/>
      <c r="N85" s="364" t="n"/>
      <c r="O85" s="364" t="n"/>
      <c r="P85" s="364" t="n"/>
      <c r="Q85" s="364" t="n"/>
      <c r="R85" s="364" t="n"/>
      <c r="S85" s="364" t="n"/>
      <c r="T85" s="364" t="n"/>
      <c r="U85" s="364" t="n"/>
      <c r="V85" s="364" t="n"/>
      <c r="W85" s="364" t="n"/>
      <c r="X85" s="364" t="n"/>
      <c r="Y85" s="364" t="n"/>
      <c r="Z85" s="364" t="n"/>
    </row>
    <row r="86">
      <c r="A86" s="364" t="n"/>
      <c r="B86" s="364" t="n"/>
      <c r="C86" s="364" t="n"/>
      <c r="D86" s="364" t="n"/>
      <c r="E86" s="364" t="n"/>
      <c r="F86" s="364" t="n"/>
      <c r="G86" s="364" t="n"/>
      <c r="H86" s="364" t="n"/>
      <c r="I86" s="364" t="n"/>
      <c r="J86" s="364" t="n"/>
      <c r="K86" s="364" t="n"/>
      <c r="L86" s="364" t="n"/>
      <c r="M86" s="364" t="n"/>
      <c r="N86" s="364" t="n"/>
      <c r="O86" s="364" t="n"/>
      <c r="P86" s="364" t="n"/>
      <c r="Q86" s="364" t="n"/>
      <c r="R86" s="364" t="n"/>
      <c r="S86" s="364" t="n"/>
      <c r="T86" s="364" t="n"/>
      <c r="U86" s="364" t="n"/>
      <c r="V86" s="364" t="n"/>
      <c r="W86" s="364" t="n"/>
      <c r="X86" s="364" t="n"/>
      <c r="Y86" s="364" t="n"/>
      <c r="Z86" s="364" t="n"/>
    </row>
    <row r="87">
      <c r="A87" s="364" t="n"/>
      <c r="B87" s="364" t="n"/>
      <c r="C87" s="364" t="n"/>
      <c r="D87" s="364" t="n"/>
      <c r="E87" s="364" t="n"/>
      <c r="F87" s="364" t="n"/>
      <c r="G87" s="364" t="n"/>
      <c r="H87" s="364" t="n"/>
      <c r="I87" s="364" t="n"/>
      <c r="J87" s="364" t="n"/>
      <c r="K87" s="364" t="n"/>
      <c r="L87" s="364" t="n"/>
      <c r="M87" s="364" t="n"/>
      <c r="N87" s="364" t="n"/>
      <c r="O87" s="364" t="n"/>
      <c r="P87" s="364" t="n"/>
      <c r="Q87" s="364" t="n"/>
      <c r="R87" s="364" t="n"/>
      <c r="S87" s="364" t="n"/>
      <c r="T87" s="364" t="n"/>
      <c r="U87" s="364" t="n"/>
      <c r="V87" s="364" t="n"/>
      <c r="W87" s="364" t="n"/>
      <c r="X87" s="364" t="n"/>
      <c r="Y87" s="364" t="n"/>
      <c r="Z87" s="364" t="n"/>
    </row>
    <row r="88">
      <c r="A88" s="364" t="n"/>
      <c r="B88" s="364" t="n"/>
      <c r="C88" s="364" t="n"/>
      <c r="D88" s="364" t="n"/>
      <c r="E88" s="364" t="n"/>
      <c r="F88" s="364" t="n"/>
      <c r="G88" s="364" t="n"/>
      <c r="H88" s="364" t="n"/>
      <c r="I88" s="364" t="n"/>
      <c r="J88" s="364" t="n"/>
      <c r="K88" s="364" t="n"/>
      <c r="L88" s="364" t="n"/>
      <c r="M88" s="364" t="n"/>
      <c r="N88" s="364" t="n"/>
      <c r="O88" s="364" t="n"/>
      <c r="P88" s="364" t="n"/>
      <c r="Q88" s="364" t="n"/>
      <c r="R88" s="364" t="n"/>
      <c r="S88" s="364" t="n"/>
      <c r="T88" s="364" t="n"/>
      <c r="U88" s="364" t="n"/>
      <c r="V88" s="364" t="n"/>
      <c r="W88" s="364" t="n"/>
      <c r="X88" s="364" t="n"/>
      <c r="Y88" s="364" t="n"/>
      <c r="Z88" s="364" t="n"/>
    </row>
    <row r="89">
      <c r="A89" s="364" t="n"/>
      <c r="B89" s="364" t="n"/>
      <c r="C89" s="364" t="n"/>
      <c r="D89" s="364" t="n"/>
      <c r="E89" s="364" t="n"/>
      <c r="F89" s="364" t="n"/>
      <c r="G89" s="364" t="n"/>
      <c r="H89" s="364" t="n"/>
      <c r="I89" s="364" t="n"/>
      <c r="J89" s="364" t="n"/>
      <c r="K89" s="364" t="n"/>
      <c r="L89" s="364" t="n"/>
      <c r="M89" s="364" t="n"/>
      <c r="N89" s="364" t="n"/>
      <c r="O89" s="364" t="n"/>
      <c r="P89" s="364" t="n"/>
      <c r="Q89" s="364" t="n"/>
      <c r="R89" s="364" t="n"/>
      <c r="S89" s="364" t="n"/>
      <c r="T89" s="364" t="n"/>
      <c r="U89" s="364" t="n"/>
      <c r="V89" s="364" t="n"/>
      <c r="W89" s="364" t="n"/>
      <c r="X89" s="364" t="n"/>
      <c r="Y89" s="364" t="n"/>
      <c r="Z89" s="364" t="n"/>
    </row>
    <row r="90">
      <c r="A90" s="364" t="n"/>
      <c r="B90" s="364" t="n"/>
      <c r="C90" s="364" t="n"/>
      <c r="D90" s="364" t="n"/>
      <c r="E90" s="364" t="n"/>
      <c r="F90" s="364" t="n"/>
      <c r="G90" s="364" t="n"/>
      <c r="H90" s="364" t="n"/>
      <c r="I90" s="364" t="n"/>
      <c r="J90" s="364" t="n"/>
      <c r="K90" s="364" t="n"/>
      <c r="L90" s="364" t="n"/>
      <c r="M90" s="364" t="n"/>
      <c r="N90" s="364" t="n"/>
      <c r="O90" s="364" t="n"/>
      <c r="P90" s="364" t="n"/>
      <c r="Q90" s="364" t="n"/>
      <c r="R90" s="364" t="n"/>
      <c r="S90" s="364" t="n"/>
      <c r="T90" s="364" t="n"/>
      <c r="U90" s="364" t="n"/>
      <c r="V90" s="364" t="n"/>
      <c r="W90" s="364" t="n"/>
      <c r="X90" s="364" t="n"/>
      <c r="Y90" s="364" t="n"/>
      <c r="Z90" s="364" t="n"/>
    </row>
    <row r="91">
      <c r="A91" s="364" t="n"/>
      <c r="B91" s="364" t="n"/>
      <c r="C91" s="364" t="n"/>
      <c r="D91" s="364" t="n"/>
      <c r="E91" s="364" t="n"/>
      <c r="F91" s="364" t="n"/>
      <c r="G91" s="364" t="n"/>
      <c r="H91" s="364" t="n"/>
      <c r="I91" s="364" t="n"/>
      <c r="J91" s="364" t="n"/>
      <c r="K91" s="364" t="n"/>
      <c r="L91" s="364" t="n"/>
      <c r="M91" s="364" t="n"/>
      <c r="N91" s="364" t="n"/>
      <c r="O91" s="364" t="n"/>
      <c r="P91" s="364" t="n"/>
      <c r="Q91" s="364" t="n"/>
      <c r="R91" s="364" t="n"/>
      <c r="S91" s="364" t="n"/>
      <c r="T91" s="364" t="n"/>
      <c r="U91" s="364" t="n"/>
      <c r="V91" s="364" t="n"/>
      <c r="W91" s="364" t="n"/>
      <c r="X91" s="364" t="n"/>
      <c r="Y91" s="364" t="n"/>
      <c r="Z91" s="364" t="n"/>
    </row>
    <row r="92">
      <c r="A92" s="364" t="n"/>
      <c r="B92" s="364" t="n"/>
      <c r="C92" s="364" t="n"/>
      <c r="D92" s="364" t="n"/>
      <c r="E92" s="364" t="n"/>
      <c r="F92" s="364" t="n"/>
      <c r="G92" s="364" t="n"/>
      <c r="H92" s="364" t="n"/>
      <c r="I92" s="364" t="n"/>
      <c r="J92" s="364" t="n"/>
      <c r="K92" s="364" t="n"/>
      <c r="L92" s="364" t="n"/>
      <c r="M92" s="364" t="n"/>
      <c r="N92" s="364" t="n"/>
      <c r="O92" s="364" t="n"/>
      <c r="P92" s="364" t="n"/>
      <c r="Q92" s="364" t="n"/>
      <c r="R92" s="364" t="n"/>
      <c r="S92" s="364" t="n"/>
      <c r="T92" s="364" t="n"/>
      <c r="U92" s="364" t="n"/>
      <c r="V92" s="364" t="n"/>
      <c r="W92" s="364" t="n"/>
      <c r="X92" s="364" t="n"/>
      <c r="Y92" s="364" t="n"/>
      <c r="Z92" s="364" t="n"/>
    </row>
    <row r="93">
      <c r="A93" s="364" t="n"/>
      <c r="B93" s="364" t="n"/>
      <c r="C93" s="364" t="n"/>
      <c r="D93" s="364" t="n"/>
      <c r="E93" s="364" t="n"/>
      <c r="F93" s="364" t="n"/>
      <c r="G93" s="364" t="n"/>
      <c r="H93" s="364" t="n"/>
      <c r="I93" s="364" t="n"/>
      <c r="J93" s="364" t="n"/>
      <c r="K93" s="364" t="n"/>
      <c r="L93" s="364" t="n"/>
      <c r="M93" s="364" t="n"/>
      <c r="N93" s="364" t="n"/>
      <c r="O93" s="364" t="n"/>
      <c r="P93" s="364" t="n"/>
      <c r="Q93" s="364" t="n"/>
      <c r="R93" s="364" t="n"/>
      <c r="S93" s="364" t="n"/>
      <c r="T93" s="364" t="n"/>
      <c r="U93" s="364" t="n"/>
      <c r="V93" s="364" t="n"/>
      <c r="W93" s="364" t="n"/>
      <c r="X93" s="364" t="n"/>
      <c r="Y93" s="364" t="n"/>
      <c r="Z93" s="364" t="n"/>
    </row>
    <row r="94">
      <c r="A94" s="364" t="n"/>
      <c r="B94" s="364" t="n"/>
      <c r="C94" s="364" t="n"/>
      <c r="D94" s="364" t="n"/>
      <c r="E94" s="364" t="n"/>
      <c r="F94" s="364" t="n"/>
      <c r="G94" s="364" t="n"/>
      <c r="H94" s="364" t="n"/>
      <c r="I94" s="364" t="n"/>
      <c r="J94" s="364" t="n"/>
      <c r="K94" s="364" t="n"/>
      <c r="L94" s="364" t="n"/>
      <c r="M94" s="364" t="n"/>
      <c r="N94" s="364" t="n"/>
      <c r="O94" s="364" t="n"/>
      <c r="P94" s="364" t="n"/>
      <c r="Q94" s="364" t="n"/>
      <c r="R94" s="364" t="n"/>
      <c r="S94" s="364" t="n"/>
      <c r="T94" s="364" t="n"/>
      <c r="U94" s="364" t="n"/>
      <c r="V94" s="364" t="n"/>
      <c r="W94" s="364" t="n"/>
      <c r="X94" s="364" t="n"/>
      <c r="Y94" s="364" t="n"/>
      <c r="Z94" s="364" t="n"/>
    </row>
    <row r="95">
      <c r="A95" s="364" t="n"/>
      <c r="B95" s="364" t="n"/>
      <c r="C95" s="364" t="n"/>
      <c r="D95" s="364" t="n"/>
      <c r="E95" s="364" t="n"/>
      <c r="F95" s="364" t="n"/>
      <c r="G95" s="364" t="n"/>
      <c r="H95" s="364" t="n"/>
      <c r="I95" s="364" t="n"/>
      <c r="J95" s="364" t="n"/>
      <c r="K95" s="364" t="n"/>
      <c r="L95" s="364" t="n"/>
      <c r="M95" s="364" t="n"/>
      <c r="N95" s="364" t="n"/>
      <c r="O95" s="364" t="n"/>
      <c r="P95" s="364" t="n"/>
      <c r="Q95" s="364" t="n"/>
      <c r="R95" s="364" t="n"/>
      <c r="S95" s="364" t="n"/>
      <c r="T95" s="364" t="n"/>
      <c r="U95" s="364" t="n"/>
      <c r="V95" s="364" t="n"/>
      <c r="W95" s="364" t="n"/>
      <c r="X95" s="364" t="n"/>
      <c r="Y95" s="364" t="n"/>
      <c r="Z95" s="364" t="n"/>
    </row>
    <row r="96">
      <c r="A96" s="364" t="n"/>
      <c r="B96" s="364" t="n"/>
      <c r="C96" s="364" t="n"/>
      <c r="D96" s="364" t="n"/>
      <c r="E96" s="364" t="n"/>
      <c r="F96" s="364" t="n"/>
      <c r="G96" s="364" t="n"/>
      <c r="H96" s="364" t="n"/>
      <c r="I96" s="364" t="n"/>
      <c r="J96" s="364" t="n"/>
      <c r="K96" s="364" t="n"/>
      <c r="L96" s="364" t="n"/>
      <c r="M96" s="364" t="n"/>
      <c r="N96" s="364" t="n"/>
      <c r="O96" s="364" t="n"/>
      <c r="P96" s="364" t="n"/>
      <c r="Q96" s="364" t="n"/>
      <c r="R96" s="364" t="n"/>
      <c r="S96" s="364" t="n"/>
      <c r="T96" s="364" t="n"/>
      <c r="U96" s="364" t="n"/>
      <c r="V96" s="364" t="n"/>
      <c r="W96" s="364" t="n"/>
      <c r="X96" s="364" t="n"/>
      <c r="Y96" s="364" t="n"/>
      <c r="Z96" s="364" t="n"/>
    </row>
    <row r="97">
      <c r="A97" s="364" t="n"/>
      <c r="B97" s="364" t="n"/>
      <c r="C97" s="364" t="n"/>
      <c r="D97" s="364" t="n"/>
      <c r="E97" s="364" t="n"/>
      <c r="F97" s="364" t="n"/>
      <c r="G97" s="364" t="n"/>
      <c r="H97" s="364" t="n"/>
      <c r="I97" s="364" t="n"/>
      <c r="J97" s="364" t="n"/>
      <c r="K97" s="364" t="n"/>
      <c r="L97" s="364" t="n"/>
      <c r="M97" s="364" t="n"/>
      <c r="N97" s="364" t="n"/>
      <c r="O97" s="364" t="n"/>
      <c r="P97" s="364" t="n"/>
      <c r="Q97" s="364" t="n"/>
      <c r="R97" s="364" t="n"/>
      <c r="S97" s="364" t="n"/>
      <c r="T97" s="364" t="n"/>
      <c r="U97" s="364" t="n"/>
      <c r="V97" s="364" t="n"/>
      <c r="W97" s="364" t="n"/>
      <c r="X97" s="364" t="n"/>
      <c r="Y97" s="364" t="n"/>
      <c r="Z97" s="364" t="n"/>
    </row>
    <row r="98">
      <c r="A98" s="364" t="n"/>
      <c r="B98" s="364" t="n"/>
      <c r="C98" s="364" t="n"/>
      <c r="D98" s="364" t="n"/>
      <c r="E98" s="364" t="n"/>
      <c r="F98" s="364" t="n"/>
      <c r="G98" s="364" t="n"/>
      <c r="H98" s="364" t="n"/>
      <c r="I98" s="364" t="n"/>
      <c r="J98" s="364" t="n"/>
      <c r="K98" s="364" t="n"/>
      <c r="L98" s="364" t="n"/>
      <c r="M98" s="364" t="n"/>
      <c r="N98" s="364" t="n"/>
      <c r="O98" s="364" t="n"/>
      <c r="P98" s="364" t="n"/>
      <c r="Q98" s="364" t="n"/>
      <c r="R98" s="364" t="n"/>
      <c r="S98" s="364" t="n"/>
      <c r="T98" s="364" t="n"/>
      <c r="U98" s="364" t="n"/>
      <c r="V98" s="364" t="n"/>
      <c r="W98" s="364" t="n"/>
      <c r="X98" s="364" t="n"/>
      <c r="Y98" s="364" t="n"/>
      <c r="Z98" s="364" t="n"/>
    </row>
    <row r="99">
      <c r="A99" s="364" t="n"/>
      <c r="B99" s="364" t="n"/>
      <c r="C99" s="364" t="n"/>
      <c r="D99" s="364" t="n"/>
      <c r="E99" s="364" t="n"/>
      <c r="F99" s="364" t="n"/>
      <c r="G99" s="364" t="n"/>
      <c r="H99" s="364" t="n"/>
      <c r="I99" s="364" t="n"/>
      <c r="J99" s="364" t="n"/>
      <c r="K99" s="364" t="n"/>
      <c r="L99" s="364" t="n"/>
      <c r="M99" s="364" t="n"/>
      <c r="N99" s="364" t="n"/>
      <c r="O99" s="364" t="n"/>
      <c r="P99" s="364" t="n"/>
      <c r="Q99" s="364" t="n"/>
      <c r="R99" s="364" t="n"/>
      <c r="S99" s="364" t="n"/>
      <c r="T99" s="364" t="n"/>
      <c r="U99" s="364" t="n"/>
      <c r="V99" s="364" t="n"/>
      <c r="W99" s="364" t="n"/>
      <c r="X99" s="364" t="n"/>
      <c r="Y99" s="364" t="n"/>
      <c r="Z99" s="364" t="n"/>
    </row>
    <row r="100">
      <c r="A100" s="364" t="n"/>
      <c r="B100" s="364" t="n"/>
      <c r="C100" s="364" t="n"/>
      <c r="D100" s="364" t="n"/>
      <c r="E100" s="364" t="n"/>
      <c r="F100" s="364" t="n"/>
      <c r="G100" s="364" t="n"/>
      <c r="H100" s="364" t="n"/>
      <c r="I100" s="364" t="n"/>
      <c r="J100" s="364" t="n"/>
      <c r="K100" s="364" t="n"/>
      <c r="L100" s="364" t="n"/>
      <c r="M100" s="364" t="n"/>
      <c r="N100" s="364" t="n"/>
      <c r="O100" s="364" t="n"/>
      <c r="P100" s="364" t="n"/>
      <c r="Q100" s="364" t="n"/>
      <c r="R100" s="364" t="n"/>
      <c r="S100" s="364" t="n"/>
      <c r="T100" s="364" t="n"/>
      <c r="U100" s="364" t="n"/>
      <c r="V100" s="364" t="n"/>
      <c r="W100" s="364" t="n"/>
      <c r="X100" s="364" t="n"/>
      <c r="Y100" s="364" t="n"/>
      <c r="Z100" s="364" t="n"/>
    </row>
  </sheetData>
  <mergeCells count="4">
    <mergeCell ref="A2:E2"/>
    <mergeCell ref="A1:E1"/>
    <mergeCell ref="A4:E4"/>
    <mergeCell ref="A33:E33"/>
  </mergeCells>
  <pageMargins left="0.7" right="0.7" top="0.75" bottom="0.75" header="0.3" footer="0.3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0"/>
  <sheetViews>
    <sheetView showGridLines="0" workbookViewId="0">
      <selection activeCell="A1" sqref="A1"/>
    </sheetView>
  </sheetViews>
  <sheetFormatPr baseColWidth="8" defaultRowHeight="15"/>
  <cols>
    <col width="22" customWidth="1" style="34" min="1" max="1"/>
    <col width="28" customWidth="1" style="34" min="2" max="2"/>
    <col width="42" customWidth="1" style="34" min="3" max="3"/>
    <col width="18" customWidth="1" style="34" min="4" max="4"/>
    <col width="68" customWidth="1" style="34" min="5" max="5"/>
  </cols>
  <sheetData>
    <row r="1" ht="19.20000076293945" customHeight="1" s="34">
      <c r="A1" s="567" t="inlineStr">
        <is>
          <t>Investor Review &amp; Pressure-Test Notes</t>
        </is>
      </c>
      <c r="B1" s="1" t="n"/>
      <c r="C1" s="1" t="n"/>
      <c r="D1" s="1" t="n"/>
      <c r="E1" s="1" t="n"/>
      <c r="F1" s="566" t="n"/>
      <c r="G1" s="566" t="n"/>
      <c r="H1" s="566" t="n"/>
      <c r="I1" s="566" t="n"/>
      <c r="J1" s="566" t="n"/>
      <c r="K1" s="566" t="n"/>
      <c r="L1" s="566" t="n"/>
      <c r="M1" s="566" t="n"/>
      <c r="N1" s="566" t="n"/>
      <c r="O1" s="566" t="n"/>
      <c r="P1" s="566" t="n"/>
      <c r="Q1" s="566" t="n"/>
      <c r="R1" s="566" t="n"/>
      <c r="S1" s="566" t="n"/>
      <c r="T1" s="566" t="n"/>
      <c r="U1" s="566" t="n"/>
      <c r="V1" s="566" t="n"/>
      <c r="W1" s="566" t="n"/>
      <c r="X1" s="566" t="n"/>
      <c r="Y1" s="566" t="n"/>
      <c r="Z1" s="566" t="n"/>
    </row>
    <row r="2" ht="15" customHeight="1" s="34">
      <c r="A2" s="522" t="inlineStr">
        <is>
          <t>This tab translates the model into likely investor questions and cleanup actions.</t>
        </is>
      </c>
      <c r="B2" s="1" t="n"/>
      <c r="C2" s="1" t="n"/>
      <c r="D2" s="1" t="n"/>
      <c r="E2" s="1" t="n"/>
      <c r="F2" s="364" t="n"/>
      <c r="G2" s="364" t="n"/>
      <c r="H2" s="364" t="n"/>
      <c r="I2" s="364" t="n"/>
      <c r="J2" s="364" t="n"/>
      <c r="K2" s="364" t="n"/>
      <c r="L2" s="364" t="n"/>
      <c r="M2" s="364" t="n"/>
      <c r="N2" s="364" t="n"/>
      <c r="O2" s="364" t="n"/>
      <c r="P2" s="364" t="n"/>
      <c r="Q2" s="364" t="n"/>
      <c r="R2" s="364" t="n"/>
      <c r="S2" s="364" t="n"/>
      <c r="T2" s="364" t="n"/>
      <c r="U2" s="364" t="n"/>
      <c r="V2" s="364" t="n"/>
      <c r="W2" s="364" t="n"/>
      <c r="X2" s="364" t="n"/>
      <c r="Y2" s="364" t="n"/>
      <c r="Z2" s="364" t="n"/>
    </row>
    <row r="3" ht="15" customHeight="1" s="34">
      <c r="A3" s="364" t="n"/>
      <c r="B3" s="364" t="n"/>
      <c r="C3" s="364" t="n"/>
      <c r="D3" s="364" t="n"/>
      <c r="E3" s="364" t="n"/>
      <c r="F3" s="364" t="n"/>
      <c r="G3" s="364" t="n"/>
      <c r="H3" s="364" t="n"/>
      <c r="I3" s="364" t="n"/>
      <c r="J3" s="364" t="n"/>
      <c r="K3" s="364" t="n"/>
      <c r="L3" s="364" t="n"/>
      <c r="M3" s="364" t="n"/>
      <c r="N3" s="364" t="n"/>
      <c r="O3" s="364" t="n"/>
      <c r="P3" s="364" t="n"/>
      <c r="Q3" s="364" t="n"/>
      <c r="R3" s="364" t="n"/>
      <c r="S3" s="364" t="n"/>
      <c r="T3" s="364" t="n"/>
      <c r="U3" s="364" t="n"/>
      <c r="V3" s="364" t="n"/>
      <c r="W3" s="364" t="n"/>
      <c r="X3" s="364" t="n"/>
      <c r="Y3" s="364" t="n"/>
      <c r="Z3" s="364" t="n"/>
    </row>
    <row r="4" ht="15" customHeight="1" s="34">
      <c r="A4" s="523" t="inlineStr">
        <is>
          <t>Readiness Flags</t>
        </is>
      </c>
      <c r="B4" s="1" t="n"/>
      <c r="C4" s="1" t="n"/>
      <c r="D4" s="1" t="n"/>
      <c r="E4" s="1" t="n"/>
      <c r="F4" s="364" t="n"/>
      <c r="G4" s="364" t="n"/>
      <c r="H4" s="364" t="n"/>
      <c r="I4" s="364" t="n"/>
      <c r="J4" s="364" t="n"/>
      <c r="K4" s="364" t="n"/>
      <c r="L4" s="364" t="n"/>
      <c r="M4" s="364" t="n"/>
      <c r="N4" s="364" t="n"/>
      <c r="O4" s="364" t="n"/>
      <c r="P4" s="364" t="n"/>
      <c r="Q4" s="364" t="n"/>
      <c r="R4" s="364" t="n"/>
      <c r="S4" s="364" t="n"/>
      <c r="T4" s="364" t="n"/>
      <c r="U4" s="364" t="n"/>
      <c r="V4" s="364" t="n"/>
      <c r="W4" s="364" t="n"/>
      <c r="X4" s="364" t="n"/>
      <c r="Y4" s="364" t="n"/>
      <c r="Z4" s="364" t="n"/>
    </row>
    <row r="5" ht="15" customHeight="1" s="34">
      <c r="A5" s="503" t="inlineStr">
        <is>
          <t>Category</t>
        </is>
      </c>
      <c r="B5" s="504" t="inlineStr">
        <is>
          <t>Metric</t>
        </is>
      </c>
      <c r="C5" s="504" t="inlineStr">
        <is>
          <t>Current Value</t>
        </is>
      </c>
      <c r="D5" s="504" t="inlineStr">
        <is>
          <t>Investor Read</t>
        </is>
      </c>
      <c r="E5" s="505" t="inlineStr">
        <is>
          <t>Recommended Fix</t>
        </is>
      </c>
      <c r="F5" s="364" t="n"/>
      <c r="G5" s="364" t="n"/>
      <c r="H5" s="364" t="n"/>
      <c r="I5" s="364" t="n"/>
      <c r="J5" s="364" t="n"/>
      <c r="K5" s="364" t="n"/>
      <c r="L5" s="364" t="n"/>
      <c r="M5" s="364" t="n"/>
      <c r="N5" s="364" t="n"/>
      <c r="O5" s="364" t="n"/>
      <c r="P5" s="364" t="n"/>
      <c r="Q5" s="364" t="n"/>
      <c r="R5" s="364" t="n"/>
      <c r="S5" s="364" t="n"/>
      <c r="T5" s="364" t="n"/>
      <c r="U5" s="364" t="n"/>
      <c r="V5" s="364" t="n"/>
      <c r="W5" s="364" t="n"/>
      <c r="X5" s="364" t="n"/>
      <c r="Y5" s="364" t="n"/>
      <c r="Z5" s="364" t="n"/>
    </row>
    <row r="6" ht="48" customHeight="1" s="34">
      <c r="A6" s="678" t="inlineStr">
        <is>
          <t>Traction</t>
        </is>
      </c>
      <c r="B6" s="679" t="inlineStr">
        <is>
          <t>Year 1 Units</t>
        </is>
      </c>
      <c r="C6" s="680">
        <f>'Financial Model'!B6</f>
        <v/>
      </c>
      <c r="D6" s="681" t="inlineStr">
        <is>
          <t>Red</t>
        </is>
      </c>
      <c r="E6" s="682" t="inlineStr">
        <is>
          <t>Define whether units are paid locations, subscriptions, active accounts, or transactions, then support the target with pipeline and conversion math.</t>
        </is>
      </c>
      <c r="F6" s="364" t="n"/>
      <c r="G6" s="364" t="n"/>
      <c r="H6" s="364" t="n"/>
      <c r="I6" s="364" t="n"/>
      <c r="J6" s="364" t="n"/>
      <c r="K6" s="364" t="n"/>
      <c r="L6" s="364" t="n"/>
      <c r="M6" s="364" t="n"/>
      <c r="N6" s="364" t="n"/>
      <c r="O6" s="364" t="n"/>
      <c r="P6" s="364" t="n"/>
      <c r="Q6" s="364" t="n"/>
      <c r="R6" s="364" t="n"/>
      <c r="S6" s="364" t="n"/>
      <c r="T6" s="364" t="n"/>
      <c r="U6" s="364" t="n"/>
      <c r="V6" s="364" t="n"/>
      <c r="W6" s="364" t="n"/>
      <c r="X6" s="364" t="n"/>
      <c r="Y6" s="364" t="n"/>
      <c r="Z6" s="364" t="n"/>
    </row>
    <row r="7" ht="48" customHeight="1" s="34">
      <c r="A7" s="678" t="inlineStr">
        <is>
          <t>Unit Economics</t>
        </is>
      </c>
      <c r="B7" s="679" t="inlineStr">
        <is>
          <t>Gross Margin %</t>
        </is>
      </c>
      <c r="C7" s="683">
        <f>'Financial Model'!B15</f>
        <v/>
      </c>
      <c r="D7" s="684" t="inlineStr">
        <is>
          <t>Green</t>
        </is>
      </c>
      <c r="E7" s="682" t="inlineStr">
        <is>
          <t>Validate hosting, data, onboarding, customer support, payment processing, and implementation costs.</t>
        </is>
      </c>
      <c r="F7" s="364" t="n"/>
      <c r="G7" s="364" t="n"/>
      <c r="H7" s="364" t="n"/>
      <c r="I7" s="364" t="n"/>
      <c r="J7" s="364" t="n"/>
      <c r="K7" s="364" t="n"/>
      <c r="L7" s="364" t="n"/>
      <c r="M7" s="364" t="n"/>
      <c r="N7" s="364" t="n"/>
      <c r="O7" s="364" t="n"/>
      <c r="P7" s="364" t="n"/>
      <c r="Q7" s="364" t="n"/>
      <c r="R7" s="364" t="n"/>
      <c r="S7" s="364" t="n"/>
      <c r="T7" s="364" t="n"/>
      <c r="U7" s="364" t="n"/>
      <c r="V7" s="364" t="n"/>
      <c r="W7" s="364" t="n"/>
      <c r="X7" s="364" t="n"/>
      <c r="Y7" s="364" t="n"/>
      <c r="Z7" s="364" t="n"/>
    </row>
    <row r="8" ht="48" customHeight="1" s="34">
      <c r="A8" s="678" t="inlineStr">
        <is>
          <t>Growth</t>
        </is>
      </c>
      <c r="B8" s="679" t="inlineStr">
        <is>
          <t>Year 2 Growth</t>
        </is>
      </c>
      <c r="C8" s="683">
        <f>'Assumptions'!B11</f>
        <v/>
      </c>
      <c r="D8" s="684" t="inlineStr">
        <is>
          <t>Green</t>
        </is>
      </c>
      <c r="E8" s="682" t="inlineStr">
        <is>
          <t>Tie growth to paid customer acquisition, retention, expansion revenue, and sales capacity.</t>
        </is>
      </c>
      <c r="F8" s="364" t="n"/>
      <c r="G8" s="364" t="n"/>
      <c r="H8" s="364" t="n"/>
      <c r="I8" s="364" t="n"/>
      <c r="J8" s="364" t="n"/>
      <c r="K8" s="364" t="n"/>
      <c r="L8" s="364" t="n"/>
      <c r="M8" s="364" t="n"/>
      <c r="N8" s="364" t="n"/>
      <c r="O8" s="364" t="n"/>
      <c r="P8" s="364" t="n"/>
      <c r="Q8" s="364" t="n"/>
      <c r="R8" s="364" t="n"/>
      <c r="S8" s="364" t="n"/>
      <c r="T8" s="364" t="n"/>
      <c r="U8" s="364" t="n"/>
      <c r="V8" s="364" t="n"/>
      <c r="W8" s="364" t="n"/>
      <c r="X8" s="364" t="n"/>
      <c r="Y8" s="364" t="n"/>
      <c r="Z8" s="364" t="n"/>
    </row>
    <row r="9" ht="48" customHeight="1" s="34">
      <c r="A9" s="678" t="inlineStr">
        <is>
          <t>Growth</t>
        </is>
      </c>
      <c r="B9" s="679" t="inlineStr">
        <is>
          <t>Year 3 Growth</t>
        </is>
      </c>
      <c r="C9" s="683">
        <f>'Assumptions'!B12</f>
        <v/>
      </c>
      <c r="D9" s="684" t="inlineStr">
        <is>
          <t>Green</t>
        </is>
      </c>
      <c r="E9" s="682" t="inlineStr">
        <is>
          <t>Tie growth to paid customer acquisition, retention, expansion revenue, and sales capacity.</t>
        </is>
      </c>
      <c r="F9" s="364" t="n"/>
      <c r="G9" s="364" t="n"/>
      <c r="H9" s="364" t="n"/>
      <c r="I9" s="364" t="n"/>
      <c r="J9" s="364" t="n"/>
      <c r="K9" s="364" t="n"/>
      <c r="L9" s="364" t="n"/>
      <c r="M9" s="364" t="n"/>
      <c r="N9" s="364" t="n"/>
      <c r="O9" s="364" t="n"/>
      <c r="P9" s="364" t="n"/>
      <c r="Q9" s="364" t="n"/>
      <c r="R9" s="364" t="n"/>
      <c r="S9" s="364" t="n"/>
      <c r="T9" s="364" t="n"/>
      <c r="U9" s="364" t="n"/>
      <c r="V9" s="364" t="n"/>
      <c r="W9" s="364" t="n"/>
      <c r="X9" s="364" t="n"/>
      <c r="Y9" s="364" t="n"/>
      <c r="Z9" s="364" t="n"/>
    </row>
    <row r="10" ht="48" customHeight="1" s="34">
      <c r="A10" s="678" t="inlineStr">
        <is>
          <t>Operating Model</t>
        </is>
      </c>
      <c r="B10" s="679" t="inlineStr">
        <is>
          <t>Total OpEx % of Revenue</t>
        </is>
      </c>
      <c r="C10" s="683">
        <f>'Financial Model'!B21</f>
        <v/>
      </c>
      <c r="D10" s="685" t="inlineStr">
        <is>
          <t>Orange</t>
        </is>
      </c>
      <c r="E10" s="682" t="inlineStr">
        <is>
          <t>Break out Sales &amp; Marketing, Product/R&amp;D, G&amp;A, implementation, and customer success.</t>
        </is>
      </c>
      <c r="F10" s="364" t="n"/>
      <c r="G10" s="364" t="n"/>
      <c r="H10" s="364" t="n"/>
      <c r="I10" s="364" t="n"/>
      <c r="J10" s="364" t="n"/>
      <c r="K10" s="364" t="n"/>
      <c r="L10" s="364" t="n"/>
      <c r="M10" s="364" t="n"/>
      <c r="N10" s="364" t="n"/>
      <c r="O10" s="364" t="n"/>
      <c r="P10" s="364" t="n"/>
      <c r="Q10" s="364" t="n"/>
      <c r="R10" s="364" t="n"/>
      <c r="S10" s="364" t="n"/>
      <c r="T10" s="364" t="n"/>
      <c r="U10" s="364" t="n"/>
      <c r="V10" s="364" t="n"/>
      <c r="W10" s="364" t="n"/>
      <c r="X10" s="364" t="n"/>
      <c r="Y10" s="364" t="n"/>
      <c r="Z10" s="364" t="n"/>
    </row>
    <row r="11" ht="48" customHeight="1" s="34">
      <c r="A11" s="686" t="inlineStr">
        <is>
          <t>Liquidity</t>
        </is>
      </c>
      <c r="B11" s="687" t="inlineStr">
        <is>
          <t>Ending Cash</t>
        </is>
      </c>
      <c r="C11" s="688">
        <f>'Financial Model'!B29</f>
        <v/>
      </c>
      <c r="D11" s="689" t="inlineStr">
        <is>
          <t>Green</t>
        </is>
      </c>
      <c r="E11" s="690" t="inlineStr">
        <is>
          <t>Connect the cash plan to burn, runway, milestone timing, and any required funding round.</t>
        </is>
      </c>
      <c r="F11" s="364" t="n"/>
      <c r="G11" s="364" t="n"/>
      <c r="H11" s="364" t="n"/>
      <c r="I11" s="364" t="n"/>
      <c r="J11" s="364" t="n"/>
      <c r="K11" s="364" t="n"/>
      <c r="L11" s="364" t="n"/>
      <c r="M11" s="364" t="n"/>
      <c r="N11" s="364" t="n"/>
      <c r="O11" s="364" t="n"/>
      <c r="P11" s="364" t="n"/>
      <c r="Q11" s="364" t="n"/>
      <c r="R11" s="364" t="n"/>
      <c r="S11" s="364" t="n"/>
      <c r="T11" s="364" t="n"/>
      <c r="U11" s="364" t="n"/>
      <c r="V11" s="364" t="n"/>
      <c r="W11" s="364" t="n"/>
      <c r="X11" s="364" t="n"/>
      <c r="Y11" s="364" t="n"/>
      <c r="Z11" s="364" t="n"/>
    </row>
    <row r="12" ht="15" customHeight="1" s="34">
      <c r="A12" s="364" t="n"/>
      <c r="B12" s="364" t="n"/>
      <c r="C12" s="364" t="n"/>
      <c r="D12" s="364" t="n"/>
      <c r="E12" s="364" t="n"/>
      <c r="F12" s="364" t="n"/>
      <c r="G12" s="364" t="n"/>
      <c r="H12" s="364" t="n"/>
      <c r="I12" s="364" t="n"/>
      <c r="J12" s="364" t="n"/>
      <c r="K12" s="364" t="n"/>
      <c r="L12" s="364" t="n"/>
      <c r="M12" s="364" t="n"/>
      <c r="N12" s="364" t="n"/>
      <c r="O12" s="364" t="n"/>
      <c r="P12" s="364" t="n"/>
      <c r="Q12" s="364" t="n"/>
      <c r="R12" s="364" t="n"/>
      <c r="S12" s="364" t="n"/>
      <c r="T12" s="364" t="n"/>
      <c r="U12" s="364" t="n"/>
      <c r="V12" s="364" t="n"/>
      <c r="W12" s="364" t="n"/>
      <c r="X12" s="364" t="n"/>
      <c r="Y12" s="364" t="n"/>
      <c r="Z12" s="364" t="n"/>
    </row>
    <row r="13" ht="15" customHeight="1" s="34">
      <c r="A13" s="364" t="n"/>
      <c r="B13" s="364" t="n"/>
      <c r="C13" s="364" t="n"/>
      <c r="D13" s="364" t="n"/>
      <c r="E13" s="364" t="n"/>
      <c r="F13" s="364" t="n"/>
      <c r="G13" s="364" t="n"/>
      <c r="H13" s="364" t="n"/>
      <c r="I13" s="364" t="n"/>
      <c r="J13" s="364" t="n"/>
      <c r="K13" s="364" t="n"/>
      <c r="L13" s="364" t="n"/>
      <c r="M13" s="364" t="n"/>
      <c r="N13" s="364" t="n"/>
      <c r="O13" s="364" t="n"/>
      <c r="P13" s="364" t="n"/>
      <c r="Q13" s="364" t="n"/>
      <c r="R13" s="364" t="n"/>
      <c r="S13" s="364" t="n"/>
      <c r="T13" s="364" t="n"/>
      <c r="U13" s="364" t="n"/>
      <c r="V13" s="364" t="n"/>
      <c r="W13" s="364" t="n"/>
      <c r="X13" s="364" t="n"/>
      <c r="Y13" s="364" t="n"/>
      <c r="Z13" s="364" t="n"/>
    </row>
    <row r="14" ht="15" customHeight="1" s="34">
      <c r="A14" s="523" t="inlineStr">
        <is>
          <t>Investor Questions to Prepare</t>
        </is>
      </c>
      <c r="B14" s="1" t="n"/>
      <c r="C14" s="1" t="n"/>
      <c r="D14" s="1" t="n"/>
      <c r="E14" s="1" t="n"/>
      <c r="F14" s="364" t="n"/>
      <c r="G14" s="364" t="n"/>
      <c r="H14" s="364" t="n"/>
      <c r="I14" s="364" t="n"/>
      <c r="J14" s="364" t="n"/>
      <c r="K14" s="364" t="n"/>
      <c r="L14" s="364" t="n"/>
      <c r="M14" s="364" t="n"/>
      <c r="N14" s="364" t="n"/>
      <c r="O14" s="364" t="n"/>
      <c r="P14" s="364" t="n"/>
      <c r="Q14" s="364" t="n"/>
      <c r="R14" s="364" t="n"/>
      <c r="S14" s="364" t="n"/>
      <c r="T14" s="364" t="n"/>
      <c r="U14" s="364" t="n"/>
      <c r="V14" s="364" t="n"/>
      <c r="W14" s="364" t="n"/>
      <c r="X14" s="364" t="n"/>
      <c r="Y14" s="364" t="n"/>
      <c r="Z14" s="364" t="n"/>
    </row>
    <row r="15" ht="15" customHeight="1" s="34">
      <c r="A15" s="691" t="inlineStr">
        <is>
          <t>Question</t>
        </is>
      </c>
      <c r="B15" s="692" t="inlineStr">
        <is>
          <t>Why It Matters</t>
        </is>
      </c>
      <c r="C15" s="693" t="inlineStr">
        <is>
          <t>Founder Prep</t>
        </is>
      </c>
      <c r="D15" s="364" t="n"/>
      <c r="E15" s="364" t="n"/>
      <c r="F15" s="364" t="n"/>
      <c r="G15" s="364" t="n"/>
      <c r="H15" s="364" t="n"/>
      <c r="I15" s="364" t="n"/>
      <c r="J15" s="364" t="n"/>
      <c r="K15" s="364" t="n"/>
      <c r="L15" s="364" t="n"/>
      <c r="M15" s="364" t="n"/>
      <c r="N15" s="364" t="n"/>
      <c r="O15" s="364" t="n"/>
      <c r="P15" s="364" t="n"/>
      <c r="Q15" s="364" t="n"/>
      <c r="R15" s="364" t="n"/>
      <c r="S15" s="364" t="n"/>
      <c r="T15" s="364" t="n"/>
      <c r="U15" s="364" t="n"/>
      <c r="V15" s="364" t="n"/>
      <c r="W15" s="364" t="n"/>
      <c r="X15" s="364" t="n"/>
      <c r="Y15" s="364" t="n"/>
      <c r="Z15" s="364" t="n"/>
    </row>
    <row r="16" ht="68" customHeight="1" s="34">
      <c r="A16" s="694" t="inlineStr">
        <is>
          <t>What exactly is one unit?</t>
        </is>
      </c>
      <c r="B16" s="427" t="inlineStr">
        <is>
          <t>Unit definition determines whether 80,000 units is realistic.</t>
        </is>
      </c>
      <c r="C16" s="428" t="inlineStr">
        <is>
          <t>Clarify whether units are paid locations, subscriptions, active accounts, monthly transactions, or monitored sites.</t>
        </is>
      </c>
      <c r="D16" s="364" t="n"/>
      <c r="E16" s="364" t="n"/>
      <c r="F16" s="364" t="n"/>
      <c r="G16" s="364" t="n"/>
      <c r="H16" s="364" t="n"/>
      <c r="I16" s="364" t="n"/>
      <c r="J16" s="364" t="n"/>
      <c r="K16" s="364" t="n"/>
      <c r="L16" s="364" t="n"/>
      <c r="M16" s="364" t="n"/>
      <c r="N16" s="364" t="n"/>
      <c r="O16" s="364" t="n"/>
      <c r="P16" s="364" t="n"/>
      <c r="Q16" s="364" t="n"/>
      <c r="R16" s="364" t="n"/>
      <c r="S16" s="364" t="n"/>
      <c r="T16" s="364" t="n"/>
      <c r="U16" s="364" t="n"/>
      <c r="V16" s="364" t="n"/>
      <c r="W16" s="364" t="n"/>
      <c r="X16" s="364" t="n"/>
      <c r="Y16" s="364" t="n"/>
      <c r="Z16" s="364" t="n"/>
    </row>
    <row r="17" ht="68" customHeight="1" s="34">
      <c r="A17" s="694" t="inlineStr">
        <is>
          <t>What costs are included in COGS?</t>
        </is>
      </c>
      <c r="B17" s="427" t="inlineStr">
        <is>
          <t>Gross margin depends on what is included below the line.</t>
        </is>
      </c>
      <c r="C17" s="428" t="inlineStr">
        <is>
          <t>Add hosting, data, implementation, onboarding, customer support, payment fees, and AI infrastructure costs.</t>
        </is>
      </c>
      <c r="D17" s="364" t="n"/>
      <c r="E17" s="364" t="n"/>
      <c r="F17" s="364" t="n"/>
      <c r="G17" s="364" t="n"/>
      <c r="H17" s="364" t="n"/>
      <c r="I17" s="364" t="n"/>
      <c r="J17" s="364" t="n"/>
      <c r="K17" s="364" t="n"/>
      <c r="L17" s="364" t="n"/>
      <c r="M17" s="364" t="n"/>
      <c r="N17" s="364" t="n"/>
      <c r="O17" s="364" t="n"/>
      <c r="P17" s="364" t="n"/>
      <c r="Q17" s="364" t="n"/>
      <c r="R17" s="364" t="n"/>
      <c r="S17" s="364" t="n"/>
      <c r="T17" s="364" t="n"/>
      <c r="U17" s="364" t="n"/>
      <c r="V17" s="364" t="n"/>
      <c r="W17" s="364" t="n"/>
      <c r="X17" s="364" t="n"/>
      <c r="Y17" s="364" t="n"/>
      <c r="Z17" s="364" t="n"/>
    </row>
    <row r="18" ht="68" customHeight="1" s="34">
      <c r="A18" s="694" t="inlineStr">
        <is>
          <t>How will you acquire 80,000 units in Year 1?</t>
        </is>
      </c>
      <c r="B18" s="427" t="inlineStr">
        <is>
          <t>Customer acquisition is the biggest model risk.</t>
        </is>
      </c>
      <c r="C18" s="428" t="inlineStr">
        <is>
          <t>Show funnel math: target accounts, outreach volume, pilot conversion, paid conversion, churn, and expansion.</t>
        </is>
      </c>
      <c r="D18" s="364" t="n"/>
      <c r="E18" s="364" t="n"/>
      <c r="F18" s="364" t="n"/>
      <c r="G18" s="364" t="n"/>
      <c r="H18" s="364" t="n"/>
      <c r="I18" s="364" t="n"/>
      <c r="J18" s="364" t="n"/>
      <c r="K18" s="364" t="n"/>
      <c r="L18" s="364" t="n"/>
      <c r="M18" s="364" t="n"/>
      <c r="N18" s="364" t="n"/>
      <c r="O18" s="364" t="n"/>
      <c r="P18" s="364" t="n"/>
      <c r="Q18" s="364" t="n"/>
      <c r="R18" s="364" t="n"/>
      <c r="S18" s="364" t="n"/>
      <c r="T18" s="364" t="n"/>
      <c r="U18" s="364" t="n"/>
      <c r="V18" s="364" t="n"/>
      <c r="W18" s="364" t="n"/>
      <c r="X18" s="364" t="n"/>
      <c r="Y18" s="364" t="n"/>
      <c r="Z18" s="364" t="n"/>
    </row>
    <row r="19" ht="68" customHeight="1" s="34">
      <c r="A19" s="695" t="inlineStr">
        <is>
          <t>Why is OpEx only 25% of revenue before fixed overhead?</t>
        </is>
      </c>
      <c r="B19" s="436" t="inlineStr">
        <is>
          <t>Growth-stage software companies usually need meaningful S&amp;M, product, and support investment.</t>
        </is>
      </c>
      <c r="C19" s="437" t="inlineStr">
        <is>
          <t>Break out Sales &amp; Marketing, Product/R&amp;D, G&amp;A, implementation, and customer success costs.</t>
        </is>
      </c>
      <c r="D19" s="364" t="n"/>
      <c r="E19" s="364" t="n"/>
      <c r="F19" s="364" t="n"/>
      <c r="G19" s="364" t="n"/>
      <c r="H19" s="364" t="n"/>
      <c r="I19" s="364" t="n"/>
      <c r="J19" s="364" t="n"/>
      <c r="K19" s="364" t="n"/>
      <c r="L19" s="364" t="n"/>
      <c r="M19" s="364" t="n"/>
      <c r="N19" s="364" t="n"/>
      <c r="O19" s="364" t="n"/>
      <c r="P19" s="364" t="n"/>
      <c r="Q19" s="364" t="n"/>
      <c r="R19" s="364" t="n"/>
      <c r="S19" s="364" t="n"/>
      <c r="T19" s="364" t="n"/>
      <c r="U19" s="364" t="n"/>
      <c r="V19" s="364" t="n"/>
      <c r="W19" s="364" t="n"/>
      <c r="X19" s="364" t="n"/>
      <c r="Y19" s="364" t="n"/>
      <c r="Z19" s="364" t="n"/>
    </row>
    <row r="20" ht="15" customHeight="1" s="34">
      <c r="A20" s="364" t="n"/>
      <c r="B20" s="364" t="n"/>
      <c r="C20" s="364" t="n"/>
      <c r="D20" s="364" t="n"/>
      <c r="E20" s="364" t="n"/>
      <c r="F20" s="364" t="n"/>
      <c r="G20" s="364" t="n"/>
      <c r="H20" s="364" t="n"/>
      <c r="I20" s="364" t="n"/>
      <c r="J20" s="364" t="n"/>
      <c r="K20" s="364" t="n"/>
      <c r="L20" s="364" t="n"/>
      <c r="M20" s="364" t="n"/>
      <c r="N20" s="364" t="n"/>
      <c r="O20" s="364" t="n"/>
      <c r="P20" s="364" t="n"/>
      <c r="Q20" s="364" t="n"/>
      <c r="R20" s="364" t="n"/>
      <c r="S20" s="364" t="n"/>
      <c r="T20" s="364" t="n"/>
      <c r="U20" s="364" t="n"/>
      <c r="V20" s="364" t="n"/>
      <c r="W20" s="364" t="n"/>
      <c r="X20" s="364" t="n"/>
      <c r="Y20" s="364" t="n"/>
      <c r="Z20" s="364" t="n"/>
    </row>
    <row r="21" ht="15" customHeight="1" s="34">
      <c r="A21" s="364" t="n"/>
      <c r="B21" s="364" t="n"/>
      <c r="C21" s="364" t="n"/>
      <c r="D21" s="364" t="n"/>
      <c r="E21" s="364" t="n"/>
      <c r="F21" s="364" t="n"/>
      <c r="G21" s="364" t="n"/>
      <c r="H21" s="364" t="n"/>
      <c r="I21" s="364" t="n"/>
      <c r="J21" s="364" t="n"/>
      <c r="K21" s="364" t="n"/>
      <c r="L21" s="364" t="n"/>
      <c r="M21" s="364" t="n"/>
      <c r="N21" s="364" t="n"/>
      <c r="O21" s="364" t="n"/>
      <c r="P21" s="364" t="n"/>
      <c r="Q21" s="364" t="n"/>
      <c r="R21" s="364" t="n"/>
      <c r="S21" s="364" t="n"/>
      <c r="T21" s="364" t="n"/>
      <c r="U21" s="364" t="n"/>
      <c r="V21" s="364" t="n"/>
      <c r="W21" s="364" t="n"/>
      <c r="X21" s="364" t="n"/>
      <c r="Y21" s="364" t="n"/>
      <c r="Z21" s="364" t="n"/>
    </row>
    <row r="22" ht="15" customHeight="1" s="34">
      <c r="A22" s="364" t="n"/>
      <c r="B22" s="364" t="n"/>
      <c r="C22" s="364" t="n"/>
      <c r="D22" s="364" t="n"/>
      <c r="E22" s="364" t="n"/>
      <c r="F22" s="364" t="n"/>
      <c r="G22" s="364" t="n"/>
      <c r="H22" s="364" t="n"/>
      <c r="I22" s="364" t="n"/>
      <c r="J22" s="364" t="n"/>
      <c r="K22" s="364" t="n"/>
      <c r="L22" s="364" t="n"/>
      <c r="M22" s="364" t="n"/>
      <c r="N22" s="364" t="n"/>
      <c r="O22" s="364" t="n"/>
      <c r="P22" s="364" t="n"/>
      <c r="Q22" s="364" t="n"/>
      <c r="R22" s="364" t="n"/>
      <c r="S22" s="364" t="n"/>
      <c r="T22" s="364" t="n"/>
      <c r="U22" s="364" t="n"/>
      <c r="V22" s="364" t="n"/>
      <c r="W22" s="364" t="n"/>
      <c r="X22" s="364" t="n"/>
      <c r="Y22" s="364" t="n"/>
      <c r="Z22" s="364" t="n"/>
    </row>
    <row r="23" ht="15" customHeight="1" s="34">
      <c r="A23" s="364" t="n"/>
      <c r="B23" s="364" t="n"/>
      <c r="C23" s="364" t="n"/>
      <c r="D23" s="364" t="n"/>
      <c r="E23" s="364" t="n"/>
      <c r="F23" s="364" t="n"/>
      <c r="G23" s="364" t="n"/>
      <c r="H23" s="364" t="n"/>
      <c r="I23" s="364" t="n"/>
      <c r="J23" s="364" t="n"/>
      <c r="K23" s="364" t="n"/>
      <c r="L23" s="364" t="n"/>
      <c r="M23" s="364" t="n"/>
      <c r="N23" s="364" t="n"/>
      <c r="O23" s="364" t="n"/>
      <c r="P23" s="364" t="n"/>
      <c r="Q23" s="364" t="n"/>
      <c r="R23" s="364" t="n"/>
      <c r="S23" s="364" t="n"/>
      <c r="T23" s="364" t="n"/>
      <c r="U23" s="364" t="n"/>
      <c r="V23" s="364" t="n"/>
      <c r="W23" s="364" t="n"/>
      <c r="X23" s="364" t="n"/>
      <c r="Y23" s="364" t="n"/>
      <c r="Z23" s="364" t="n"/>
    </row>
    <row r="24" ht="15" customHeight="1" s="34">
      <c r="A24" s="364" t="n"/>
      <c r="B24" s="364" t="n"/>
      <c r="C24" s="364" t="n"/>
      <c r="D24" s="364" t="n"/>
      <c r="E24" s="364" t="n"/>
      <c r="F24" s="364" t="n"/>
      <c r="G24" s="364" t="n"/>
      <c r="H24" s="364" t="n"/>
      <c r="I24" s="364" t="n"/>
      <c r="J24" s="364" t="n"/>
      <c r="K24" s="364" t="n"/>
      <c r="L24" s="364" t="n"/>
      <c r="M24" s="364" t="n"/>
      <c r="N24" s="364" t="n"/>
      <c r="O24" s="364" t="n"/>
      <c r="P24" s="364" t="n"/>
      <c r="Q24" s="364" t="n"/>
      <c r="R24" s="364" t="n"/>
      <c r="S24" s="364" t="n"/>
      <c r="T24" s="364" t="n"/>
      <c r="U24" s="364" t="n"/>
      <c r="V24" s="364" t="n"/>
      <c r="W24" s="364" t="n"/>
      <c r="X24" s="364" t="n"/>
      <c r="Y24" s="364" t="n"/>
      <c r="Z24" s="364" t="n"/>
    </row>
    <row r="25" ht="15" customHeight="1" s="34">
      <c r="A25" s="364" t="n"/>
      <c r="B25" s="364" t="n"/>
      <c r="C25" s="364" t="n"/>
      <c r="D25" s="364" t="n"/>
      <c r="E25" s="364" t="n"/>
      <c r="F25" s="364" t="n"/>
      <c r="G25" s="364" t="n"/>
      <c r="H25" s="364" t="n"/>
      <c r="I25" s="364" t="n"/>
      <c r="J25" s="364" t="n"/>
      <c r="K25" s="364" t="n"/>
      <c r="L25" s="364" t="n"/>
      <c r="M25" s="364" t="n"/>
      <c r="N25" s="364" t="n"/>
      <c r="O25" s="364" t="n"/>
      <c r="P25" s="364" t="n"/>
      <c r="Q25" s="364" t="n"/>
      <c r="R25" s="364" t="n"/>
      <c r="S25" s="364" t="n"/>
      <c r="T25" s="364" t="n"/>
      <c r="U25" s="364" t="n"/>
      <c r="V25" s="364" t="n"/>
      <c r="W25" s="364" t="n"/>
      <c r="X25" s="364" t="n"/>
      <c r="Y25" s="364" t="n"/>
      <c r="Z25" s="364" t="n"/>
    </row>
    <row r="26" ht="15" customHeight="1" s="34">
      <c r="A26" s="364" t="n"/>
      <c r="B26" s="364" t="n"/>
      <c r="C26" s="364" t="n"/>
      <c r="D26" s="364" t="n"/>
      <c r="E26" s="364" t="n"/>
      <c r="F26" s="364" t="n"/>
      <c r="G26" s="364" t="n"/>
      <c r="H26" s="364" t="n"/>
      <c r="I26" s="364" t="n"/>
      <c r="J26" s="364" t="n"/>
      <c r="K26" s="364" t="n"/>
      <c r="L26" s="364" t="n"/>
      <c r="M26" s="364" t="n"/>
      <c r="N26" s="364" t="n"/>
      <c r="O26" s="364" t="n"/>
      <c r="P26" s="364" t="n"/>
      <c r="Q26" s="364" t="n"/>
      <c r="R26" s="364" t="n"/>
      <c r="S26" s="364" t="n"/>
      <c r="T26" s="364" t="n"/>
      <c r="U26" s="364" t="n"/>
      <c r="V26" s="364" t="n"/>
      <c r="W26" s="364" t="n"/>
      <c r="X26" s="364" t="n"/>
      <c r="Y26" s="364" t="n"/>
      <c r="Z26" s="364" t="n"/>
    </row>
    <row r="27" ht="15" customHeight="1" s="34">
      <c r="A27" s="364" t="n"/>
      <c r="B27" s="364" t="n"/>
      <c r="C27" s="364" t="n"/>
      <c r="D27" s="364" t="n"/>
      <c r="E27" s="364" t="n"/>
      <c r="F27" s="364" t="n"/>
      <c r="G27" s="364" t="n"/>
      <c r="H27" s="364" t="n"/>
      <c r="I27" s="364" t="n"/>
      <c r="J27" s="364" t="n"/>
      <c r="K27" s="364" t="n"/>
      <c r="L27" s="364" t="n"/>
      <c r="M27" s="364" t="n"/>
      <c r="N27" s="364" t="n"/>
      <c r="O27" s="364" t="n"/>
      <c r="P27" s="364" t="n"/>
      <c r="Q27" s="364" t="n"/>
      <c r="R27" s="364" t="n"/>
      <c r="S27" s="364" t="n"/>
      <c r="T27" s="364" t="n"/>
      <c r="U27" s="364" t="n"/>
      <c r="V27" s="364" t="n"/>
      <c r="W27" s="364" t="n"/>
      <c r="X27" s="364" t="n"/>
      <c r="Y27" s="364" t="n"/>
      <c r="Z27" s="364" t="n"/>
    </row>
    <row r="28" ht="15" customHeight="1" s="34">
      <c r="A28" s="364" t="n"/>
      <c r="B28" s="364" t="n"/>
      <c r="C28" s="364" t="n"/>
      <c r="D28" s="364" t="n"/>
      <c r="E28" s="364" t="n"/>
      <c r="F28" s="364" t="n"/>
      <c r="G28" s="364" t="n"/>
      <c r="H28" s="364" t="n"/>
      <c r="I28" s="364" t="n"/>
      <c r="J28" s="364" t="n"/>
      <c r="K28" s="364" t="n"/>
      <c r="L28" s="364" t="n"/>
      <c r="M28" s="364" t="n"/>
      <c r="N28" s="364" t="n"/>
      <c r="O28" s="364" t="n"/>
      <c r="P28" s="364" t="n"/>
      <c r="Q28" s="364" t="n"/>
      <c r="R28" s="364" t="n"/>
      <c r="S28" s="364" t="n"/>
      <c r="T28" s="364" t="n"/>
      <c r="U28" s="364" t="n"/>
      <c r="V28" s="364" t="n"/>
      <c r="W28" s="364" t="n"/>
      <c r="X28" s="364" t="n"/>
      <c r="Y28" s="364" t="n"/>
      <c r="Z28" s="364" t="n"/>
    </row>
    <row r="29" ht="15" customHeight="1" s="34">
      <c r="A29" s="364" t="n"/>
      <c r="B29" s="364" t="n"/>
      <c r="C29" s="364" t="n"/>
      <c r="D29" s="364" t="n"/>
      <c r="E29" s="364" t="n"/>
      <c r="F29" s="364" t="n"/>
      <c r="G29" s="364" t="n"/>
      <c r="H29" s="364" t="n"/>
      <c r="I29" s="364" t="n"/>
      <c r="J29" s="364" t="n"/>
      <c r="K29" s="364" t="n"/>
      <c r="L29" s="364" t="n"/>
      <c r="M29" s="364" t="n"/>
      <c r="N29" s="364" t="n"/>
      <c r="O29" s="364" t="n"/>
      <c r="P29" s="364" t="n"/>
      <c r="Q29" s="364" t="n"/>
      <c r="R29" s="364" t="n"/>
      <c r="S29" s="364" t="n"/>
      <c r="T29" s="364" t="n"/>
      <c r="U29" s="364" t="n"/>
      <c r="V29" s="364" t="n"/>
      <c r="W29" s="364" t="n"/>
      <c r="X29" s="364" t="n"/>
      <c r="Y29" s="364" t="n"/>
      <c r="Z29" s="364" t="n"/>
    </row>
    <row r="30" ht="15" customHeight="1" s="34">
      <c r="A30" s="364" t="n"/>
      <c r="B30" s="364" t="n"/>
      <c r="C30" s="364" t="n"/>
      <c r="D30" s="364" t="n"/>
      <c r="E30" s="364" t="n"/>
      <c r="F30" s="364" t="n"/>
      <c r="G30" s="364" t="n"/>
      <c r="H30" s="364" t="n"/>
      <c r="I30" s="364" t="n"/>
      <c r="J30" s="364" t="n"/>
      <c r="K30" s="364" t="n"/>
      <c r="L30" s="364" t="n"/>
      <c r="M30" s="364" t="n"/>
      <c r="N30" s="364" t="n"/>
      <c r="O30" s="364" t="n"/>
      <c r="P30" s="364" t="n"/>
      <c r="Q30" s="364" t="n"/>
      <c r="R30" s="364" t="n"/>
      <c r="S30" s="364" t="n"/>
      <c r="T30" s="364" t="n"/>
      <c r="U30" s="364" t="n"/>
      <c r="V30" s="364" t="n"/>
      <c r="W30" s="364" t="n"/>
      <c r="X30" s="364" t="n"/>
      <c r="Y30" s="364" t="n"/>
      <c r="Z30" s="364" t="n"/>
    </row>
    <row r="31" ht="15" customHeight="1" s="34">
      <c r="A31" s="364" t="n"/>
      <c r="B31" s="364" t="n"/>
      <c r="C31" s="364" t="n"/>
      <c r="D31" s="364" t="n"/>
      <c r="E31" s="364" t="n"/>
      <c r="F31" s="364" t="n"/>
      <c r="G31" s="364" t="n"/>
      <c r="H31" s="364" t="n"/>
      <c r="I31" s="364" t="n"/>
      <c r="J31" s="364" t="n"/>
      <c r="K31" s="364" t="n"/>
      <c r="L31" s="364" t="n"/>
      <c r="M31" s="364" t="n"/>
      <c r="N31" s="364" t="n"/>
      <c r="O31" s="364" t="n"/>
      <c r="P31" s="364" t="n"/>
      <c r="Q31" s="364" t="n"/>
      <c r="R31" s="364" t="n"/>
      <c r="S31" s="364" t="n"/>
      <c r="T31" s="364" t="n"/>
      <c r="U31" s="364" t="n"/>
      <c r="V31" s="364" t="n"/>
      <c r="W31" s="364" t="n"/>
      <c r="X31" s="364" t="n"/>
      <c r="Y31" s="364" t="n"/>
      <c r="Z31" s="364" t="n"/>
    </row>
    <row r="32" ht="15" customHeight="1" s="34">
      <c r="A32" s="364" t="n"/>
      <c r="B32" s="364" t="n"/>
      <c r="C32" s="364" t="n"/>
      <c r="D32" s="364" t="n"/>
      <c r="E32" s="364" t="n"/>
      <c r="F32" s="364" t="n"/>
      <c r="G32" s="364" t="n"/>
      <c r="H32" s="364" t="n"/>
      <c r="I32" s="364" t="n"/>
      <c r="J32" s="364" t="n"/>
      <c r="K32" s="364" t="n"/>
      <c r="L32" s="364" t="n"/>
      <c r="M32" s="364" t="n"/>
      <c r="N32" s="364" t="n"/>
      <c r="O32" s="364" t="n"/>
      <c r="P32" s="364" t="n"/>
      <c r="Q32" s="364" t="n"/>
      <c r="R32" s="364" t="n"/>
      <c r="S32" s="364" t="n"/>
      <c r="T32" s="364" t="n"/>
      <c r="U32" s="364" t="n"/>
      <c r="V32" s="364" t="n"/>
      <c r="W32" s="364" t="n"/>
      <c r="X32" s="364" t="n"/>
      <c r="Y32" s="364" t="n"/>
      <c r="Z32" s="364" t="n"/>
    </row>
    <row r="33" ht="15" customHeight="1" s="34">
      <c r="A33" s="364" t="n"/>
      <c r="B33" s="364" t="n"/>
      <c r="C33" s="364" t="n"/>
      <c r="D33" s="364" t="n"/>
      <c r="E33" s="364" t="n"/>
      <c r="F33" s="364" t="n"/>
      <c r="G33" s="364" t="n"/>
      <c r="H33" s="364" t="n"/>
      <c r="I33" s="364" t="n"/>
      <c r="J33" s="364" t="n"/>
      <c r="K33" s="364" t="n"/>
      <c r="L33" s="364" t="n"/>
      <c r="M33" s="364" t="n"/>
      <c r="N33" s="364" t="n"/>
      <c r="O33" s="364" t="n"/>
      <c r="P33" s="364" t="n"/>
      <c r="Q33" s="364" t="n"/>
      <c r="R33" s="364" t="n"/>
      <c r="S33" s="364" t="n"/>
      <c r="T33" s="364" t="n"/>
      <c r="U33" s="364" t="n"/>
      <c r="V33" s="364" t="n"/>
      <c r="W33" s="364" t="n"/>
      <c r="X33" s="364" t="n"/>
      <c r="Y33" s="364" t="n"/>
      <c r="Z33" s="364" t="n"/>
    </row>
    <row r="34" ht="15" customHeight="1" s="34">
      <c r="A34" s="364" t="n"/>
      <c r="B34" s="364" t="n"/>
      <c r="C34" s="364" t="n"/>
      <c r="D34" s="364" t="n"/>
      <c r="E34" s="364" t="n"/>
      <c r="F34" s="364" t="n"/>
      <c r="G34" s="364" t="n"/>
      <c r="H34" s="364" t="n"/>
      <c r="I34" s="364" t="n"/>
      <c r="J34" s="364" t="n"/>
      <c r="K34" s="364" t="n"/>
      <c r="L34" s="364" t="n"/>
      <c r="M34" s="364" t="n"/>
      <c r="N34" s="364" t="n"/>
      <c r="O34" s="364" t="n"/>
      <c r="P34" s="364" t="n"/>
      <c r="Q34" s="364" t="n"/>
      <c r="R34" s="364" t="n"/>
      <c r="S34" s="364" t="n"/>
      <c r="T34" s="364" t="n"/>
      <c r="U34" s="364" t="n"/>
      <c r="V34" s="364" t="n"/>
      <c r="W34" s="364" t="n"/>
      <c r="X34" s="364" t="n"/>
      <c r="Y34" s="364" t="n"/>
      <c r="Z34" s="364" t="n"/>
    </row>
    <row r="35" ht="15" customHeight="1" s="34">
      <c r="A35" s="364" t="n"/>
      <c r="B35" s="364" t="n"/>
      <c r="C35" s="364" t="n"/>
      <c r="D35" s="364" t="n"/>
      <c r="E35" s="364" t="n"/>
      <c r="F35" s="364" t="n"/>
      <c r="G35" s="364" t="n"/>
      <c r="H35" s="364" t="n"/>
      <c r="I35" s="364" t="n"/>
      <c r="J35" s="364" t="n"/>
      <c r="K35" s="364" t="n"/>
      <c r="L35" s="364" t="n"/>
      <c r="M35" s="364" t="n"/>
      <c r="N35" s="364" t="n"/>
      <c r="O35" s="364" t="n"/>
      <c r="P35" s="364" t="n"/>
      <c r="Q35" s="364" t="n"/>
      <c r="R35" s="364" t="n"/>
      <c r="S35" s="364" t="n"/>
      <c r="T35" s="364" t="n"/>
      <c r="U35" s="364" t="n"/>
      <c r="V35" s="364" t="n"/>
      <c r="W35" s="364" t="n"/>
      <c r="X35" s="364" t="n"/>
      <c r="Y35" s="364" t="n"/>
      <c r="Z35" s="364" t="n"/>
    </row>
    <row r="36" ht="15" customHeight="1" s="34">
      <c r="A36" s="364" t="n"/>
      <c r="B36" s="364" t="n"/>
      <c r="C36" s="364" t="n"/>
      <c r="D36" s="364" t="n"/>
      <c r="E36" s="364" t="n"/>
      <c r="F36" s="364" t="n"/>
      <c r="G36" s="364" t="n"/>
      <c r="H36" s="364" t="n"/>
      <c r="I36" s="364" t="n"/>
      <c r="J36" s="364" t="n"/>
      <c r="K36" s="364" t="n"/>
      <c r="L36" s="364" t="n"/>
      <c r="M36" s="364" t="n"/>
      <c r="N36" s="364" t="n"/>
      <c r="O36" s="364" t="n"/>
      <c r="P36" s="364" t="n"/>
      <c r="Q36" s="364" t="n"/>
      <c r="R36" s="364" t="n"/>
      <c r="S36" s="364" t="n"/>
      <c r="T36" s="364" t="n"/>
      <c r="U36" s="364" t="n"/>
      <c r="V36" s="364" t="n"/>
      <c r="W36" s="364" t="n"/>
      <c r="X36" s="364" t="n"/>
      <c r="Y36" s="364" t="n"/>
      <c r="Z36" s="364" t="n"/>
    </row>
    <row r="37" ht="15" customHeight="1" s="34">
      <c r="A37" s="364" t="n"/>
      <c r="B37" s="364" t="n"/>
      <c r="C37" s="364" t="n"/>
      <c r="D37" s="364" t="n"/>
      <c r="E37" s="364" t="n"/>
      <c r="F37" s="364" t="n"/>
      <c r="G37" s="364" t="n"/>
      <c r="H37" s="364" t="n"/>
      <c r="I37" s="364" t="n"/>
      <c r="J37" s="364" t="n"/>
      <c r="K37" s="364" t="n"/>
      <c r="L37" s="364" t="n"/>
      <c r="M37" s="364" t="n"/>
      <c r="N37" s="364" t="n"/>
      <c r="O37" s="364" t="n"/>
      <c r="P37" s="364" t="n"/>
      <c r="Q37" s="364" t="n"/>
      <c r="R37" s="364" t="n"/>
      <c r="S37" s="364" t="n"/>
      <c r="T37" s="364" t="n"/>
      <c r="U37" s="364" t="n"/>
      <c r="V37" s="364" t="n"/>
      <c r="W37" s="364" t="n"/>
      <c r="X37" s="364" t="n"/>
      <c r="Y37" s="364" t="n"/>
      <c r="Z37" s="364" t="n"/>
    </row>
    <row r="38" ht="15" customHeight="1" s="34">
      <c r="A38" s="364" t="n"/>
      <c r="B38" s="364" t="n"/>
      <c r="C38" s="364" t="n"/>
      <c r="D38" s="364" t="n"/>
      <c r="E38" s="364" t="n"/>
      <c r="F38" s="364" t="n"/>
      <c r="G38" s="364" t="n"/>
      <c r="H38" s="364" t="n"/>
      <c r="I38" s="364" t="n"/>
      <c r="J38" s="364" t="n"/>
      <c r="K38" s="364" t="n"/>
      <c r="L38" s="364" t="n"/>
      <c r="M38" s="364" t="n"/>
      <c r="N38" s="364" t="n"/>
      <c r="O38" s="364" t="n"/>
      <c r="P38" s="364" t="n"/>
      <c r="Q38" s="364" t="n"/>
      <c r="R38" s="364" t="n"/>
      <c r="S38" s="364" t="n"/>
      <c r="T38" s="364" t="n"/>
      <c r="U38" s="364" t="n"/>
      <c r="V38" s="364" t="n"/>
      <c r="W38" s="364" t="n"/>
      <c r="X38" s="364" t="n"/>
      <c r="Y38" s="364" t="n"/>
      <c r="Z38" s="364" t="n"/>
    </row>
    <row r="39" ht="15" customHeight="1" s="34">
      <c r="A39" s="364" t="n"/>
      <c r="B39" s="364" t="n"/>
      <c r="C39" s="364" t="n"/>
      <c r="D39" s="364" t="n"/>
      <c r="E39" s="364" t="n"/>
      <c r="F39" s="364" t="n"/>
      <c r="G39" s="364" t="n"/>
      <c r="H39" s="364" t="n"/>
      <c r="I39" s="364" t="n"/>
      <c r="J39" s="364" t="n"/>
      <c r="K39" s="364" t="n"/>
      <c r="L39" s="364" t="n"/>
      <c r="M39" s="364" t="n"/>
      <c r="N39" s="364" t="n"/>
      <c r="O39" s="364" t="n"/>
      <c r="P39" s="364" t="n"/>
      <c r="Q39" s="364" t="n"/>
      <c r="R39" s="364" t="n"/>
      <c r="S39" s="364" t="n"/>
      <c r="T39" s="364" t="n"/>
      <c r="U39" s="364" t="n"/>
      <c r="V39" s="364" t="n"/>
      <c r="W39" s="364" t="n"/>
      <c r="X39" s="364" t="n"/>
      <c r="Y39" s="364" t="n"/>
      <c r="Z39" s="364" t="n"/>
    </row>
    <row r="40" ht="15" customHeight="1" s="34">
      <c r="A40" s="364" t="n"/>
      <c r="B40" s="364" t="n"/>
      <c r="C40" s="364" t="n"/>
      <c r="D40" s="364" t="n"/>
      <c r="E40" s="364" t="n"/>
      <c r="F40" s="364" t="n"/>
      <c r="G40" s="364" t="n"/>
      <c r="H40" s="364" t="n"/>
      <c r="I40" s="364" t="n"/>
      <c r="J40" s="364" t="n"/>
      <c r="K40" s="364" t="n"/>
      <c r="L40" s="364" t="n"/>
      <c r="M40" s="364" t="n"/>
      <c r="N40" s="364" t="n"/>
      <c r="O40" s="364" t="n"/>
      <c r="P40" s="364" t="n"/>
      <c r="Q40" s="364" t="n"/>
      <c r="R40" s="364" t="n"/>
      <c r="S40" s="364" t="n"/>
      <c r="T40" s="364" t="n"/>
      <c r="U40" s="364" t="n"/>
      <c r="V40" s="364" t="n"/>
      <c r="W40" s="364" t="n"/>
      <c r="X40" s="364" t="n"/>
      <c r="Y40" s="364" t="n"/>
      <c r="Z40" s="364" t="n"/>
    </row>
    <row r="41">
      <c r="A41" s="364" t="n"/>
      <c r="B41" s="364" t="n"/>
      <c r="C41" s="364" t="n"/>
      <c r="D41" s="364" t="n"/>
      <c r="E41" s="364" t="n"/>
      <c r="F41" s="364" t="n"/>
      <c r="G41" s="364" t="n"/>
      <c r="H41" s="364" t="n"/>
      <c r="I41" s="364" t="n"/>
      <c r="J41" s="364" t="n"/>
      <c r="K41" s="364" t="n"/>
      <c r="L41" s="364" t="n"/>
      <c r="M41" s="364" t="n"/>
      <c r="N41" s="364" t="n"/>
      <c r="O41" s="364" t="n"/>
      <c r="P41" s="364" t="n"/>
      <c r="Q41" s="364" t="n"/>
      <c r="R41" s="364" t="n"/>
      <c r="S41" s="364" t="n"/>
      <c r="T41" s="364" t="n"/>
      <c r="U41" s="364" t="n"/>
      <c r="V41" s="364" t="n"/>
      <c r="W41" s="364" t="n"/>
      <c r="X41" s="364" t="n"/>
      <c r="Y41" s="364" t="n"/>
      <c r="Z41" s="364" t="n"/>
    </row>
    <row r="42">
      <c r="A42" s="364" t="n"/>
      <c r="B42" s="364" t="n"/>
      <c r="C42" s="364" t="n"/>
      <c r="D42" s="364" t="n"/>
      <c r="E42" s="364" t="n"/>
      <c r="F42" s="364" t="n"/>
      <c r="G42" s="364" t="n"/>
      <c r="H42" s="364" t="n"/>
      <c r="I42" s="364" t="n"/>
      <c r="J42" s="364" t="n"/>
      <c r="K42" s="364" t="n"/>
      <c r="L42" s="364" t="n"/>
      <c r="M42" s="364" t="n"/>
      <c r="N42" s="364" t="n"/>
      <c r="O42" s="364" t="n"/>
      <c r="P42" s="364" t="n"/>
      <c r="Q42" s="364" t="n"/>
      <c r="R42" s="364" t="n"/>
      <c r="S42" s="364" t="n"/>
      <c r="T42" s="364" t="n"/>
      <c r="U42" s="364" t="n"/>
      <c r="V42" s="364" t="n"/>
      <c r="W42" s="364" t="n"/>
      <c r="X42" s="364" t="n"/>
      <c r="Y42" s="364" t="n"/>
      <c r="Z42" s="364" t="n"/>
    </row>
    <row r="43">
      <c r="A43" s="364" t="n"/>
      <c r="B43" s="364" t="n"/>
      <c r="C43" s="364" t="n"/>
      <c r="D43" s="364" t="n"/>
      <c r="E43" s="364" t="n"/>
      <c r="F43" s="364" t="n"/>
      <c r="G43" s="364" t="n"/>
      <c r="H43" s="364" t="n"/>
      <c r="I43" s="364" t="n"/>
      <c r="J43" s="364" t="n"/>
      <c r="K43" s="364" t="n"/>
      <c r="L43" s="364" t="n"/>
      <c r="M43" s="364" t="n"/>
      <c r="N43" s="364" t="n"/>
      <c r="O43" s="364" t="n"/>
      <c r="P43" s="364" t="n"/>
      <c r="Q43" s="364" t="n"/>
      <c r="R43" s="364" t="n"/>
      <c r="S43" s="364" t="n"/>
      <c r="T43" s="364" t="n"/>
      <c r="U43" s="364" t="n"/>
      <c r="V43" s="364" t="n"/>
      <c r="W43" s="364" t="n"/>
      <c r="X43" s="364" t="n"/>
      <c r="Y43" s="364" t="n"/>
      <c r="Z43" s="364" t="n"/>
    </row>
    <row r="44">
      <c r="A44" s="364" t="n"/>
      <c r="B44" s="364" t="n"/>
      <c r="C44" s="364" t="n"/>
      <c r="D44" s="364" t="n"/>
      <c r="E44" s="364" t="n"/>
      <c r="F44" s="364" t="n"/>
      <c r="G44" s="364" t="n"/>
      <c r="H44" s="364" t="n"/>
      <c r="I44" s="364" t="n"/>
      <c r="J44" s="364" t="n"/>
      <c r="K44" s="364" t="n"/>
      <c r="L44" s="364" t="n"/>
      <c r="M44" s="364" t="n"/>
      <c r="N44" s="364" t="n"/>
      <c r="O44" s="364" t="n"/>
      <c r="P44" s="364" t="n"/>
      <c r="Q44" s="364" t="n"/>
      <c r="R44" s="364" t="n"/>
      <c r="S44" s="364" t="n"/>
      <c r="T44" s="364" t="n"/>
      <c r="U44" s="364" t="n"/>
      <c r="V44" s="364" t="n"/>
      <c r="W44" s="364" t="n"/>
      <c r="X44" s="364" t="n"/>
      <c r="Y44" s="364" t="n"/>
      <c r="Z44" s="364" t="n"/>
    </row>
    <row r="45">
      <c r="A45" s="364" t="n"/>
      <c r="B45" s="364" t="n"/>
      <c r="C45" s="364" t="n"/>
      <c r="D45" s="364" t="n"/>
      <c r="E45" s="364" t="n"/>
      <c r="F45" s="364" t="n"/>
      <c r="G45" s="364" t="n"/>
      <c r="H45" s="364" t="n"/>
      <c r="I45" s="364" t="n"/>
      <c r="J45" s="364" t="n"/>
      <c r="K45" s="364" t="n"/>
      <c r="L45" s="364" t="n"/>
      <c r="M45" s="364" t="n"/>
      <c r="N45" s="364" t="n"/>
      <c r="O45" s="364" t="n"/>
      <c r="P45" s="364" t="n"/>
      <c r="Q45" s="364" t="n"/>
      <c r="R45" s="364" t="n"/>
      <c r="S45" s="364" t="n"/>
      <c r="T45" s="364" t="n"/>
      <c r="U45" s="364" t="n"/>
      <c r="V45" s="364" t="n"/>
      <c r="W45" s="364" t="n"/>
      <c r="X45" s="364" t="n"/>
      <c r="Y45" s="364" t="n"/>
      <c r="Z45" s="364" t="n"/>
    </row>
    <row r="46">
      <c r="A46" s="364" t="n"/>
      <c r="B46" s="364" t="n"/>
      <c r="C46" s="364" t="n"/>
      <c r="D46" s="364" t="n"/>
      <c r="E46" s="364" t="n"/>
      <c r="F46" s="364" t="n"/>
      <c r="G46" s="364" t="n"/>
      <c r="H46" s="364" t="n"/>
      <c r="I46" s="364" t="n"/>
      <c r="J46" s="364" t="n"/>
      <c r="K46" s="364" t="n"/>
      <c r="L46" s="364" t="n"/>
      <c r="M46" s="364" t="n"/>
      <c r="N46" s="364" t="n"/>
      <c r="O46" s="364" t="n"/>
      <c r="P46" s="364" t="n"/>
      <c r="Q46" s="364" t="n"/>
      <c r="R46" s="364" t="n"/>
      <c r="S46" s="364" t="n"/>
      <c r="T46" s="364" t="n"/>
      <c r="U46" s="364" t="n"/>
      <c r="V46" s="364" t="n"/>
      <c r="W46" s="364" t="n"/>
      <c r="X46" s="364" t="n"/>
      <c r="Y46" s="364" t="n"/>
      <c r="Z46" s="364" t="n"/>
    </row>
    <row r="47">
      <c r="A47" s="364" t="n"/>
      <c r="B47" s="364" t="n"/>
      <c r="C47" s="364" t="n"/>
      <c r="D47" s="364" t="n"/>
      <c r="E47" s="364" t="n"/>
      <c r="F47" s="364" t="n"/>
      <c r="G47" s="364" t="n"/>
      <c r="H47" s="364" t="n"/>
      <c r="I47" s="364" t="n"/>
      <c r="J47" s="364" t="n"/>
      <c r="K47" s="364" t="n"/>
      <c r="L47" s="364" t="n"/>
      <c r="M47" s="364" t="n"/>
      <c r="N47" s="364" t="n"/>
      <c r="O47" s="364" t="n"/>
      <c r="P47" s="364" t="n"/>
      <c r="Q47" s="364" t="n"/>
      <c r="R47" s="364" t="n"/>
      <c r="S47" s="364" t="n"/>
      <c r="T47" s="364" t="n"/>
      <c r="U47" s="364" t="n"/>
      <c r="V47" s="364" t="n"/>
      <c r="W47" s="364" t="n"/>
      <c r="X47" s="364" t="n"/>
      <c r="Y47" s="364" t="n"/>
      <c r="Z47" s="364" t="n"/>
    </row>
    <row r="48">
      <c r="A48" s="364" t="n"/>
      <c r="B48" s="364" t="n"/>
      <c r="C48" s="364" t="n"/>
      <c r="D48" s="364" t="n"/>
      <c r="E48" s="364" t="n"/>
      <c r="F48" s="364" t="n"/>
      <c r="G48" s="364" t="n"/>
      <c r="H48" s="364" t="n"/>
      <c r="I48" s="364" t="n"/>
      <c r="J48" s="364" t="n"/>
      <c r="K48" s="364" t="n"/>
      <c r="L48" s="364" t="n"/>
      <c r="M48" s="364" t="n"/>
      <c r="N48" s="364" t="n"/>
      <c r="O48" s="364" t="n"/>
      <c r="P48" s="364" t="n"/>
      <c r="Q48" s="364" t="n"/>
      <c r="R48" s="364" t="n"/>
      <c r="S48" s="364" t="n"/>
      <c r="T48" s="364" t="n"/>
      <c r="U48" s="364" t="n"/>
      <c r="V48" s="364" t="n"/>
      <c r="W48" s="364" t="n"/>
      <c r="X48" s="364" t="n"/>
      <c r="Y48" s="364" t="n"/>
      <c r="Z48" s="364" t="n"/>
    </row>
    <row r="49">
      <c r="A49" s="364" t="n"/>
      <c r="B49" s="364" t="n"/>
      <c r="C49" s="364" t="n"/>
      <c r="D49" s="364" t="n"/>
      <c r="E49" s="364" t="n"/>
      <c r="F49" s="364" t="n"/>
      <c r="G49" s="364" t="n"/>
      <c r="H49" s="364" t="n"/>
      <c r="I49" s="364" t="n"/>
      <c r="J49" s="364" t="n"/>
      <c r="K49" s="364" t="n"/>
      <c r="L49" s="364" t="n"/>
      <c r="M49" s="364" t="n"/>
      <c r="N49" s="364" t="n"/>
      <c r="O49" s="364" t="n"/>
      <c r="P49" s="364" t="n"/>
      <c r="Q49" s="364" t="n"/>
      <c r="R49" s="364" t="n"/>
      <c r="S49" s="364" t="n"/>
      <c r="T49" s="364" t="n"/>
      <c r="U49" s="364" t="n"/>
      <c r="V49" s="364" t="n"/>
      <c r="W49" s="364" t="n"/>
      <c r="X49" s="364" t="n"/>
      <c r="Y49" s="364" t="n"/>
      <c r="Z49" s="364" t="n"/>
    </row>
    <row r="50">
      <c r="A50" s="364" t="n"/>
      <c r="B50" s="364" t="n"/>
      <c r="C50" s="364" t="n"/>
      <c r="D50" s="364" t="n"/>
      <c r="E50" s="364" t="n"/>
      <c r="F50" s="364" t="n"/>
      <c r="G50" s="364" t="n"/>
      <c r="H50" s="364" t="n"/>
      <c r="I50" s="364" t="n"/>
      <c r="J50" s="364" t="n"/>
      <c r="K50" s="364" t="n"/>
      <c r="L50" s="364" t="n"/>
      <c r="M50" s="364" t="n"/>
      <c r="N50" s="364" t="n"/>
      <c r="O50" s="364" t="n"/>
      <c r="P50" s="364" t="n"/>
      <c r="Q50" s="364" t="n"/>
      <c r="R50" s="364" t="n"/>
      <c r="S50" s="364" t="n"/>
      <c r="T50" s="364" t="n"/>
      <c r="U50" s="364" t="n"/>
      <c r="V50" s="364" t="n"/>
      <c r="W50" s="364" t="n"/>
      <c r="X50" s="364" t="n"/>
      <c r="Y50" s="364" t="n"/>
      <c r="Z50" s="364" t="n"/>
    </row>
    <row r="51">
      <c r="A51" s="364" t="n"/>
      <c r="B51" s="364" t="n"/>
      <c r="C51" s="364" t="n"/>
      <c r="D51" s="364" t="n"/>
      <c r="E51" s="364" t="n"/>
      <c r="F51" s="364" t="n"/>
      <c r="G51" s="364" t="n"/>
      <c r="H51" s="364" t="n"/>
      <c r="I51" s="364" t="n"/>
      <c r="J51" s="364" t="n"/>
      <c r="K51" s="364" t="n"/>
      <c r="L51" s="364" t="n"/>
      <c r="M51" s="364" t="n"/>
      <c r="N51" s="364" t="n"/>
      <c r="O51" s="364" t="n"/>
      <c r="P51" s="364" t="n"/>
      <c r="Q51" s="364" t="n"/>
      <c r="R51" s="364" t="n"/>
      <c r="S51" s="364" t="n"/>
      <c r="T51" s="364" t="n"/>
      <c r="U51" s="364" t="n"/>
      <c r="V51" s="364" t="n"/>
      <c r="W51" s="364" t="n"/>
      <c r="X51" s="364" t="n"/>
      <c r="Y51" s="364" t="n"/>
      <c r="Z51" s="364" t="n"/>
    </row>
    <row r="52">
      <c r="A52" s="364" t="n"/>
      <c r="B52" s="364" t="n"/>
      <c r="C52" s="364" t="n"/>
      <c r="D52" s="364" t="n"/>
      <c r="E52" s="364" t="n"/>
      <c r="F52" s="364" t="n"/>
      <c r="G52" s="364" t="n"/>
      <c r="H52" s="364" t="n"/>
      <c r="I52" s="364" t="n"/>
      <c r="J52" s="364" t="n"/>
      <c r="K52" s="364" t="n"/>
      <c r="L52" s="364" t="n"/>
      <c r="M52" s="364" t="n"/>
      <c r="N52" s="364" t="n"/>
      <c r="O52" s="364" t="n"/>
      <c r="P52" s="364" t="n"/>
      <c r="Q52" s="364" t="n"/>
      <c r="R52" s="364" t="n"/>
      <c r="S52" s="364" t="n"/>
      <c r="T52" s="364" t="n"/>
      <c r="U52" s="364" t="n"/>
      <c r="V52" s="364" t="n"/>
      <c r="W52" s="364" t="n"/>
      <c r="X52" s="364" t="n"/>
      <c r="Y52" s="364" t="n"/>
      <c r="Z52" s="364" t="n"/>
    </row>
    <row r="53">
      <c r="A53" s="364" t="n"/>
      <c r="B53" s="364" t="n"/>
      <c r="C53" s="364" t="n"/>
      <c r="D53" s="364" t="n"/>
      <c r="E53" s="364" t="n"/>
      <c r="F53" s="364" t="n"/>
      <c r="G53" s="364" t="n"/>
      <c r="H53" s="364" t="n"/>
      <c r="I53" s="364" t="n"/>
      <c r="J53" s="364" t="n"/>
      <c r="K53" s="364" t="n"/>
      <c r="L53" s="364" t="n"/>
      <c r="M53" s="364" t="n"/>
      <c r="N53" s="364" t="n"/>
      <c r="O53" s="364" t="n"/>
      <c r="P53" s="364" t="n"/>
      <c r="Q53" s="364" t="n"/>
      <c r="R53" s="364" t="n"/>
      <c r="S53" s="364" t="n"/>
      <c r="T53" s="364" t="n"/>
      <c r="U53" s="364" t="n"/>
      <c r="V53" s="364" t="n"/>
      <c r="W53" s="364" t="n"/>
      <c r="X53" s="364" t="n"/>
      <c r="Y53" s="364" t="n"/>
      <c r="Z53" s="364" t="n"/>
    </row>
    <row r="54">
      <c r="A54" s="364" t="n"/>
      <c r="B54" s="364" t="n"/>
      <c r="C54" s="364" t="n"/>
      <c r="D54" s="364" t="n"/>
      <c r="E54" s="364" t="n"/>
      <c r="F54" s="364" t="n"/>
      <c r="G54" s="364" t="n"/>
      <c r="H54" s="364" t="n"/>
      <c r="I54" s="364" t="n"/>
      <c r="J54" s="364" t="n"/>
      <c r="K54" s="364" t="n"/>
      <c r="L54" s="364" t="n"/>
      <c r="M54" s="364" t="n"/>
      <c r="N54" s="364" t="n"/>
      <c r="O54" s="364" t="n"/>
      <c r="P54" s="364" t="n"/>
      <c r="Q54" s="364" t="n"/>
      <c r="R54" s="364" t="n"/>
      <c r="S54" s="364" t="n"/>
      <c r="T54" s="364" t="n"/>
      <c r="U54" s="364" t="n"/>
      <c r="V54" s="364" t="n"/>
      <c r="W54" s="364" t="n"/>
      <c r="X54" s="364" t="n"/>
      <c r="Y54" s="364" t="n"/>
      <c r="Z54" s="364" t="n"/>
    </row>
    <row r="55">
      <c r="A55" s="364" t="n"/>
      <c r="B55" s="364" t="n"/>
      <c r="C55" s="364" t="n"/>
      <c r="D55" s="364" t="n"/>
      <c r="E55" s="364" t="n"/>
      <c r="F55" s="364" t="n"/>
      <c r="G55" s="364" t="n"/>
      <c r="H55" s="364" t="n"/>
      <c r="I55" s="364" t="n"/>
      <c r="J55" s="364" t="n"/>
      <c r="K55" s="364" t="n"/>
      <c r="L55" s="364" t="n"/>
      <c r="M55" s="364" t="n"/>
      <c r="N55" s="364" t="n"/>
      <c r="O55" s="364" t="n"/>
      <c r="P55" s="364" t="n"/>
      <c r="Q55" s="364" t="n"/>
      <c r="R55" s="364" t="n"/>
      <c r="S55" s="364" t="n"/>
      <c r="T55" s="364" t="n"/>
      <c r="U55" s="364" t="n"/>
      <c r="V55" s="364" t="n"/>
      <c r="W55" s="364" t="n"/>
      <c r="X55" s="364" t="n"/>
      <c r="Y55" s="364" t="n"/>
      <c r="Z55" s="364" t="n"/>
    </row>
    <row r="56">
      <c r="A56" s="364" t="n"/>
      <c r="B56" s="364" t="n"/>
      <c r="C56" s="364" t="n"/>
      <c r="D56" s="364" t="n"/>
      <c r="E56" s="364" t="n"/>
      <c r="F56" s="364" t="n"/>
      <c r="G56" s="364" t="n"/>
      <c r="H56" s="364" t="n"/>
      <c r="I56" s="364" t="n"/>
      <c r="J56" s="364" t="n"/>
      <c r="K56" s="364" t="n"/>
      <c r="L56" s="364" t="n"/>
      <c r="M56" s="364" t="n"/>
      <c r="N56" s="364" t="n"/>
      <c r="O56" s="364" t="n"/>
      <c r="P56" s="364" t="n"/>
      <c r="Q56" s="364" t="n"/>
      <c r="R56" s="364" t="n"/>
      <c r="S56" s="364" t="n"/>
      <c r="T56" s="364" t="n"/>
      <c r="U56" s="364" t="n"/>
      <c r="V56" s="364" t="n"/>
      <c r="W56" s="364" t="n"/>
      <c r="X56" s="364" t="n"/>
      <c r="Y56" s="364" t="n"/>
      <c r="Z56" s="364" t="n"/>
    </row>
    <row r="57">
      <c r="A57" s="364" t="n"/>
      <c r="B57" s="364" t="n"/>
      <c r="C57" s="364" t="n"/>
      <c r="D57" s="364" t="n"/>
      <c r="E57" s="364" t="n"/>
      <c r="F57" s="364" t="n"/>
      <c r="G57" s="364" t="n"/>
      <c r="H57" s="364" t="n"/>
      <c r="I57" s="364" t="n"/>
      <c r="J57" s="364" t="n"/>
      <c r="K57" s="364" t="n"/>
      <c r="L57" s="364" t="n"/>
      <c r="M57" s="364" t="n"/>
      <c r="N57" s="364" t="n"/>
      <c r="O57" s="364" t="n"/>
      <c r="P57" s="364" t="n"/>
      <c r="Q57" s="364" t="n"/>
      <c r="R57" s="364" t="n"/>
      <c r="S57" s="364" t="n"/>
      <c r="T57" s="364" t="n"/>
      <c r="U57" s="364" t="n"/>
      <c r="V57" s="364" t="n"/>
      <c r="W57" s="364" t="n"/>
      <c r="X57" s="364" t="n"/>
      <c r="Y57" s="364" t="n"/>
      <c r="Z57" s="364" t="n"/>
    </row>
    <row r="58">
      <c r="A58" s="364" t="n"/>
      <c r="B58" s="364" t="n"/>
      <c r="C58" s="364" t="n"/>
      <c r="D58" s="364" t="n"/>
      <c r="E58" s="364" t="n"/>
      <c r="F58" s="364" t="n"/>
      <c r="G58" s="364" t="n"/>
      <c r="H58" s="364" t="n"/>
      <c r="I58" s="364" t="n"/>
      <c r="J58" s="364" t="n"/>
      <c r="K58" s="364" t="n"/>
      <c r="L58" s="364" t="n"/>
      <c r="M58" s="364" t="n"/>
      <c r="N58" s="364" t="n"/>
      <c r="O58" s="364" t="n"/>
      <c r="P58" s="364" t="n"/>
      <c r="Q58" s="364" t="n"/>
      <c r="R58" s="364" t="n"/>
      <c r="S58" s="364" t="n"/>
      <c r="T58" s="364" t="n"/>
      <c r="U58" s="364" t="n"/>
      <c r="V58" s="364" t="n"/>
      <c r="W58" s="364" t="n"/>
      <c r="X58" s="364" t="n"/>
      <c r="Y58" s="364" t="n"/>
      <c r="Z58" s="364" t="n"/>
    </row>
    <row r="59">
      <c r="A59" s="364" t="n"/>
      <c r="B59" s="364" t="n"/>
      <c r="C59" s="364" t="n"/>
      <c r="D59" s="364" t="n"/>
      <c r="E59" s="364" t="n"/>
      <c r="F59" s="364" t="n"/>
      <c r="G59" s="364" t="n"/>
      <c r="H59" s="364" t="n"/>
      <c r="I59" s="364" t="n"/>
      <c r="J59" s="364" t="n"/>
      <c r="K59" s="364" t="n"/>
      <c r="L59" s="364" t="n"/>
      <c r="M59" s="364" t="n"/>
      <c r="N59" s="364" t="n"/>
      <c r="O59" s="364" t="n"/>
      <c r="P59" s="364" t="n"/>
      <c r="Q59" s="364" t="n"/>
      <c r="R59" s="364" t="n"/>
      <c r="S59" s="364" t="n"/>
      <c r="T59" s="364" t="n"/>
      <c r="U59" s="364" t="n"/>
      <c r="V59" s="364" t="n"/>
      <c r="W59" s="364" t="n"/>
      <c r="X59" s="364" t="n"/>
      <c r="Y59" s="364" t="n"/>
      <c r="Z59" s="364" t="n"/>
    </row>
    <row r="60">
      <c r="A60" s="364" t="n"/>
      <c r="B60" s="364" t="n"/>
      <c r="C60" s="364" t="n"/>
      <c r="D60" s="364" t="n"/>
      <c r="E60" s="364" t="n"/>
      <c r="F60" s="364" t="n"/>
      <c r="G60" s="364" t="n"/>
      <c r="H60" s="364" t="n"/>
      <c r="I60" s="364" t="n"/>
      <c r="J60" s="364" t="n"/>
      <c r="K60" s="364" t="n"/>
      <c r="L60" s="364" t="n"/>
      <c r="M60" s="364" t="n"/>
      <c r="N60" s="364" t="n"/>
      <c r="O60" s="364" t="n"/>
      <c r="P60" s="364" t="n"/>
      <c r="Q60" s="364" t="n"/>
      <c r="R60" s="364" t="n"/>
      <c r="S60" s="364" t="n"/>
      <c r="T60" s="364" t="n"/>
      <c r="U60" s="364" t="n"/>
      <c r="V60" s="364" t="n"/>
      <c r="W60" s="364" t="n"/>
      <c r="X60" s="364" t="n"/>
      <c r="Y60" s="364" t="n"/>
      <c r="Z60" s="364" t="n"/>
    </row>
    <row r="61">
      <c r="A61" s="364" t="n"/>
      <c r="B61" s="364" t="n"/>
      <c r="C61" s="364" t="n"/>
      <c r="D61" s="364" t="n"/>
      <c r="E61" s="364" t="n"/>
      <c r="F61" s="364" t="n"/>
      <c r="G61" s="364" t="n"/>
      <c r="H61" s="364" t="n"/>
      <c r="I61" s="364" t="n"/>
      <c r="J61" s="364" t="n"/>
      <c r="K61" s="364" t="n"/>
      <c r="L61" s="364" t="n"/>
      <c r="M61" s="364" t="n"/>
      <c r="N61" s="364" t="n"/>
      <c r="O61" s="364" t="n"/>
      <c r="P61" s="364" t="n"/>
      <c r="Q61" s="364" t="n"/>
      <c r="R61" s="364" t="n"/>
      <c r="S61" s="364" t="n"/>
      <c r="T61" s="364" t="n"/>
      <c r="U61" s="364" t="n"/>
      <c r="V61" s="364" t="n"/>
      <c r="W61" s="364" t="n"/>
      <c r="X61" s="364" t="n"/>
      <c r="Y61" s="364" t="n"/>
      <c r="Z61" s="364" t="n"/>
    </row>
    <row r="62">
      <c r="A62" s="364" t="n"/>
      <c r="B62" s="364" t="n"/>
      <c r="C62" s="364" t="n"/>
      <c r="D62" s="364" t="n"/>
      <c r="E62" s="364" t="n"/>
      <c r="F62" s="364" t="n"/>
      <c r="G62" s="364" t="n"/>
      <c r="H62" s="364" t="n"/>
      <c r="I62" s="364" t="n"/>
      <c r="J62" s="364" t="n"/>
      <c r="K62" s="364" t="n"/>
      <c r="L62" s="364" t="n"/>
      <c r="M62" s="364" t="n"/>
      <c r="N62" s="364" t="n"/>
      <c r="O62" s="364" t="n"/>
      <c r="P62" s="364" t="n"/>
      <c r="Q62" s="364" t="n"/>
      <c r="R62" s="364" t="n"/>
      <c r="S62" s="364" t="n"/>
      <c r="T62" s="364" t="n"/>
      <c r="U62" s="364" t="n"/>
      <c r="V62" s="364" t="n"/>
      <c r="W62" s="364" t="n"/>
      <c r="X62" s="364" t="n"/>
      <c r="Y62" s="364" t="n"/>
      <c r="Z62" s="364" t="n"/>
    </row>
    <row r="63">
      <c r="A63" s="364" t="n"/>
      <c r="B63" s="364" t="n"/>
      <c r="C63" s="364" t="n"/>
      <c r="D63" s="364" t="n"/>
      <c r="E63" s="364" t="n"/>
      <c r="F63" s="364" t="n"/>
      <c r="G63" s="364" t="n"/>
      <c r="H63" s="364" t="n"/>
      <c r="I63" s="364" t="n"/>
      <c r="J63" s="364" t="n"/>
      <c r="K63" s="364" t="n"/>
      <c r="L63" s="364" t="n"/>
      <c r="M63" s="364" t="n"/>
      <c r="N63" s="364" t="n"/>
      <c r="O63" s="364" t="n"/>
      <c r="P63" s="364" t="n"/>
      <c r="Q63" s="364" t="n"/>
      <c r="R63" s="364" t="n"/>
      <c r="S63" s="364" t="n"/>
      <c r="T63" s="364" t="n"/>
      <c r="U63" s="364" t="n"/>
      <c r="V63" s="364" t="n"/>
      <c r="W63" s="364" t="n"/>
      <c r="X63" s="364" t="n"/>
      <c r="Y63" s="364" t="n"/>
      <c r="Z63" s="364" t="n"/>
    </row>
    <row r="64">
      <c r="A64" s="364" t="n"/>
      <c r="B64" s="364" t="n"/>
      <c r="C64" s="364" t="n"/>
      <c r="D64" s="364" t="n"/>
      <c r="E64" s="364" t="n"/>
      <c r="F64" s="364" t="n"/>
      <c r="G64" s="364" t="n"/>
      <c r="H64" s="364" t="n"/>
      <c r="I64" s="364" t="n"/>
      <c r="J64" s="364" t="n"/>
      <c r="K64" s="364" t="n"/>
      <c r="L64" s="364" t="n"/>
      <c r="M64" s="364" t="n"/>
      <c r="N64" s="364" t="n"/>
      <c r="O64" s="364" t="n"/>
      <c r="P64" s="364" t="n"/>
      <c r="Q64" s="364" t="n"/>
      <c r="R64" s="364" t="n"/>
      <c r="S64" s="364" t="n"/>
      <c r="T64" s="364" t="n"/>
      <c r="U64" s="364" t="n"/>
      <c r="V64" s="364" t="n"/>
      <c r="W64" s="364" t="n"/>
      <c r="X64" s="364" t="n"/>
      <c r="Y64" s="364" t="n"/>
      <c r="Z64" s="364" t="n"/>
    </row>
    <row r="65">
      <c r="A65" s="364" t="n"/>
      <c r="B65" s="364" t="n"/>
      <c r="C65" s="364" t="n"/>
      <c r="D65" s="364" t="n"/>
      <c r="E65" s="364" t="n"/>
      <c r="F65" s="364" t="n"/>
      <c r="G65" s="364" t="n"/>
      <c r="H65" s="364" t="n"/>
      <c r="I65" s="364" t="n"/>
      <c r="J65" s="364" t="n"/>
      <c r="K65" s="364" t="n"/>
      <c r="L65" s="364" t="n"/>
      <c r="M65" s="364" t="n"/>
      <c r="N65" s="364" t="n"/>
      <c r="O65" s="364" t="n"/>
      <c r="P65" s="364" t="n"/>
      <c r="Q65" s="364" t="n"/>
      <c r="R65" s="364" t="n"/>
      <c r="S65" s="364" t="n"/>
      <c r="T65" s="364" t="n"/>
      <c r="U65" s="364" t="n"/>
      <c r="V65" s="364" t="n"/>
      <c r="W65" s="364" t="n"/>
      <c r="X65" s="364" t="n"/>
      <c r="Y65" s="364" t="n"/>
      <c r="Z65" s="364" t="n"/>
    </row>
    <row r="66">
      <c r="A66" s="364" t="n"/>
      <c r="B66" s="364" t="n"/>
      <c r="C66" s="364" t="n"/>
      <c r="D66" s="364" t="n"/>
      <c r="E66" s="364" t="n"/>
      <c r="F66" s="364" t="n"/>
      <c r="G66" s="364" t="n"/>
      <c r="H66" s="364" t="n"/>
      <c r="I66" s="364" t="n"/>
      <c r="J66" s="364" t="n"/>
      <c r="K66" s="364" t="n"/>
      <c r="L66" s="364" t="n"/>
      <c r="M66" s="364" t="n"/>
      <c r="N66" s="364" t="n"/>
      <c r="O66" s="364" t="n"/>
      <c r="P66" s="364" t="n"/>
      <c r="Q66" s="364" t="n"/>
      <c r="R66" s="364" t="n"/>
      <c r="S66" s="364" t="n"/>
      <c r="T66" s="364" t="n"/>
      <c r="U66" s="364" t="n"/>
      <c r="V66" s="364" t="n"/>
      <c r="W66" s="364" t="n"/>
      <c r="X66" s="364" t="n"/>
      <c r="Y66" s="364" t="n"/>
      <c r="Z66" s="364" t="n"/>
    </row>
    <row r="67">
      <c r="A67" s="364" t="n"/>
      <c r="B67" s="364" t="n"/>
      <c r="C67" s="364" t="n"/>
      <c r="D67" s="364" t="n"/>
      <c r="E67" s="364" t="n"/>
      <c r="F67" s="364" t="n"/>
      <c r="G67" s="364" t="n"/>
      <c r="H67" s="364" t="n"/>
      <c r="I67" s="364" t="n"/>
      <c r="J67" s="364" t="n"/>
      <c r="K67" s="364" t="n"/>
      <c r="L67" s="364" t="n"/>
      <c r="M67" s="364" t="n"/>
      <c r="N67" s="364" t="n"/>
      <c r="O67" s="364" t="n"/>
      <c r="P67" s="364" t="n"/>
      <c r="Q67" s="364" t="n"/>
      <c r="R67" s="364" t="n"/>
      <c r="S67" s="364" t="n"/>
      <c r="T67" s="364" t="n"/>
      <c r="U67" s="364" t="n"/>
      <c r="V67" s="364" t="n"/>
      <c r="W67" s="364" t="n"/>
      <c r="X67" s="364" t="n"/>
      <c r="Y67" s="364" t="n"/>
      <c r="Z67" s="364" t="n"/>
    </row>
    <row r="68">
      <c r="A68" s="364" t="n"/>
      <c r="B68" s="364" t="n"/>
      <c r="C68" s="364" t="n"/>
      <c r="D68" s="364" t="n"/>
      <c r="E68" s="364" t="n"/>
      <c r="F68" s="364" t="n"/>
      <c r="G68" s="364" t="n"/>
      <c r="H68" s="364" t="n"/>
      <c r="I68" s="364" t="n"/>
      <c r="J68" s="364" t="n"/>
      <c r="K68" s="364" t="n"/>
      <c r="L68" s="364" t="n"/>
      <c r="M68" s="364" t="n"/>
      <c r="N68" s="364" t="n"/>
      <c r="O68" s="364" t="n"/>
      <c r="P68" s="364" t="n"/>
      <c r="Q68" s="364" t="n"/>
      <c r="R68" s="364" t="n"/>
      <c r="S68" s="364" t="n"/>
      <c r="T68" s="364" t="n"/>
      <c r="U68" s="364" t="n"/>
      <c r="V68" s="364" t="n"/>
      <c r="W68" s="364" t="n"/>
      <c r="X68" s="364" t="n"/>
      <c r="Y68" s="364" t="n"/>
      <c r="Z68" s="364" t="n"/>
    </row>
    <row r="69">
      <c r="A69" s="364" t="n"/>
      <c r="B69" s="364" t="n"/>
      <c r="C69" s="364" t="n"/>
      <c r="D69" s="364" t="n"/>
      <c r="E69" s="364" t="n"/>
      <c r="F69" s="364" t="n"/>
      <c r="G69" s="364" t="n"/>
      <c r="H69" s="364" t="n"/>
      <c r="I69" s="364" t="n"/>
      <c r="J69" s="364" t="n"/>
      <c r="K69" s="364" t="n"/>
      <c r="L69" s="364" t="n"/>
      <c r="M69" s="364" t="n"/>
      <c r="N69" s="364" t="n"/>
      <c r="O69" s="364" t="n"/>
      <c r="P69" s="364" t="n"/>
      <c r="Q69" s="364" t="n"/>
      <c r="R69" s="364" t="n"/>
      <c r="S69" s="364" t="n"/>
      <c r="T69" s="364" t="n"/>
      <c r="U69" s="364" t="n"/>
      <c r="V69" s="364" t="n"/>
      <c r="W69" s="364" t="n"/>
      <c r="X69" s="364" t="n"/>
      <c r="Y69" s="364" t="n"/>
      <c r="Z69" s="364" t="n"/>
    </row>
    <row r="70">
      <c r="A70" s="364" t="n"/>
      <c r="B70" s="364" t="n"/>
      <c r="C70" s="364" t="n"/>
      <c r="D70" s="364" t="n"/>
      <c r="E70" s="364" t="n"/>
      <c r="F70" s="364" t="n"/>
      <c r="G70" s="364" t="n"/>
      <c r="H70" s="364" t="n"/>
      <c r="I70" s="364" t="n"/>
      <c r="J70" s="364" t="n"/>
      <c r="K70" s="364" t="n"/>
      <c r="L70" s="364" t="n"/>
      <c r="M70" s="364" t="n"/>
      <c r="N70" s="364" t="n"/>
      <c r="O70" s="364" t="n"/>
      <c r="P70" s="364" t="n"/>
      <c r="Q70" s="364" t="n"/>
      <c r="R70" s="364" t="n"/>
      <c r="S70" s="364" t="n"/>
      <c r="T70" s="364" t="n"/>
      <c r="U70" s="364" t="n"/>
      <c r="V70" s="364" t="n"/>
      <c r="W70" s="364" t="n"/>
      <c r="X70" s="364" t="n"/>
      <c r="Y70" s="364" t="n"/>
      <c r="Z70" s="364" t="n"/>
    </row>
    <row r="71">
      <c r="A71" s="364" t="n"/>
      <c r="B71" s="364" t="n"/>
      <c r="C71" s="364" t="n"/>
      <c r="D71" s="364" t="n"/>
      <c r="E71" s="364" t="n"/>
      <c r="F71" s="364" t="n"/>
      <c r="G71" s="364" t="n"/>
      <c r="H71" s="364" t="n"/>
      <c r="I71" s="364" t="n"/>
      <c r="J71" s="364" t="n"/>
      <c r="K71" s="364" t="n"/>
      <c r="L71" s="364" t="n"/>
      <c r="M71" s="364" t="n"/>
      <c r="N71" s="364" t="n"/>
      <c r="O71" s="364" t="n"/>
      <c r="P71" s="364" t="n"/>
      <c r="Q71" s="364" t="n"/>
      <c r="R71" s="364" t="n"/>
      <c r="S71" s="364" t="n"/>
      <c r="T71" s="364" t="n"/>
      <c r="U71" s="364" t="n"/>
      <c r="V71" s="364" t="n"/>
      <c r="W71" s="364" t="n"/>
      <c r="X71" s="364" t="n"/>
      <c r="Y71" s="364" t="n"/>
      <c r="Z71" s="364" t="n"/>
    </row>
    <row r="72">
      <c r="A72" s="364" t="n"/>
      <c r="B72" s="364" t="n"/>
      <c r="C72" s="364" t="n"/>
      <c r="D72" s="364" t="n"/>
      <c r="E72" s="364" t="n"/>
      <c r="F72" s="364" t="n"/>
      <c r="G72" s="364" t="n"/>
      <c r="H72" s="364" t="n"/>
      <c r="I72" s="364" t="n"/>
      <c r="J72" s="364" t="n"/>
      <c r="K72" s="364" t="n"/>
      <c r="L72" s="364" t="n"/>
      <c r="M72" s="364" t="n"/>
      <c r="N72" s="364" t="n"/>
      <c r="O72" s="364" t="n"/>
      <c r="P72" s="364" t="n"/>
      <c r="Q72" s="364" t="n"/>
      <c r="R72" s="364" t="n"/>
      <c r="S72" s="364" t="n"/>
      <c r="T72" s="364" t="n"/>
      <c r="U72" s="364" t="n"/>
      <c r="V72" s="364" t="n"/>
      <c r="W72" s="364" t="n"/>
      <c r="X72" s="364" t="n"/>
      <c r="Y72" s="364" t="n"/>
      <c r="Z72" s="364" t="n"/>
    </row>
    <row r="73">
      <c r="A73" s="364" t="n"/>
      <c r="B73" s="364" t="n"/>
      <c r="C73" s="364" t="n"/>
      <c r="D73" s="364" t="n"/>
      <c r="E73" s="364" t="n"/>
      <c r="F73" s="364" t="n"/>
      <c r="G73" s="364" t="n"/>
      <c r="H73" s="364" t="n"/>
      <c r="I73" s="364" t="n"/>
      <c r="J73" s="364" t="n"/>
      <c r="K73" s="364" t="n"/>
      <c r="L73" s="364" t="n"/>
      <c r="M73" s="364" t="n"/>
      <c r="N73" s="364" t="n"/>
      <c r="O73" s="364" t="n"/>
      <c r="P73" s="364" t="n"/>
      <c r="Q73" s="364" t="n"/>
      <c r="R73" s="364" t="n"/>
      <c r="S73" s="364" t="n"/>
      <c r="T73" s="364" t="n"/>
      <c r="U73" s="364" t="n"/>
      <c r="V73" s="364" t="n"/>
      <c r="W73" s="364" t="n"/>
      <c r="X73" s="364" t="n"/>
      <c r="Y73" s="364" t="n"/>
      <c r="Z73" s="364" t="n"/>
    </row>
    <row r="74">
      <c r="A74" s="364" t="n"/>
      <c r="B74" s="364" t="n"/>
      <c r="C74" s="364" t="n"/>
      <c r="D74" s="364" t="n"/>
      <c r="E74" s="364" t="n"/>
      <c r="F74" s="364" t="n"/>
      <c r="G74" s="364" t="n"/>
      <c r="H74" s="364" t="n"/>
      <c r="I74" s="364" t="n"/>
      <c r="J74" s="364" t="n"/>
      <c r="K74" s="364" t="n"/>
      <c r="L74" s="364" t="n"/>
      <c r="M74" s="364" t="n"/>
      <c r="N74" s="364" t="n"/>
      <c r="O74" s="364" t="n"/>
      <c r="P74" s="364" t="n"/>
      <c r="Q74" s="364" t="n"/>
      <c r="R74" s="364" t="n"/>
      <c r="S74" s="364" t="n"/>
      <c r="T74" s="364" t="n"/>
      <c r="U74" s="364" t="n"/>
      <c r="V74" s="364" t="n"/>
      <c r="W74" s="364" t="n"/>
      <c r="X74" s="364" t="n"/>
      <c r="Y74" s="364" t="n"/>
      <c r="Z74" s="364" t="n"/>
    </row>
    <row r="75">
      <c r="A75" s="364" t="n"/>
      <c r="B75" s="364" t="n"/>
      <c r="C75" s="364" t="n"/>
      <c r="D75" s="364" t="n"/>
      <c r="E75" s="364" t="n"/>
      <c r="F75" s="364" t="n"/>
      <c r="G75" s="364" t="n"/>
      <c r="H75" s="364" t="n"/>
      <c r="I75" s="364" t="n"/>
      <c r="J75" s="364" t="n"/>
      <c r="K75" s="364" t="n"/>
      <c r="L75" s="364" t="n"/>
      <c r="M75" s="364" t="n"/>
      <c r="N75" s="364" t="n"/>
      <c r="O75" s="364" t="n"/>
      <c r="P75" s="364" t="n"/>
      <c r="Q75" s="364" t="n"/>
      <c r="R75" s="364" t="n"/>
      <c r="S75" s="364" t="n"/>
      <c r="T75" s="364" t="n"/>
      <c r="U75" s="364" t="n"/>
      <c r="V75" s="364" t="n"/>
      <c r="W75" s="364" t="n"/>
      <c r="X75" s="364" t="n"/>
      <c r="Y75" s="364" t="n"/>
      <c r="Z75" s="364" t="n"/>
    </row>
    <row r="76">
      <c r="A76" s="364" t="n"/>
      <c r="B76" s="364" t="n"/>
      <c r="C76" s="364" t="n"/>
      <c r="D76" s="364" t="n"/>
      <c r="E76" s="364" t="n"/>
      <c r="F76" s="364" t="n"/>
      <c r="G76" s="364" t="n"/>
      <c r="H76" s="364" t="n"/>
      <c r="I76" s="364" t="n"/>
      <c r="J76" s="364" t="n"/>
      <c r="K76" s="364" t="n"/>
      <c r="L76" s="364" t="n"/>
      <c r="M76" s="364" t="n"/>
      <c r="N76" s="364" t="n"/>
      <c r="O76" s="364" t="n"/>
      <c r="P76" s="364" t="n"/>
      <c r="Q76" s="364" t="n"/>
      <c r="R76" s="364" t="n"/>
      <c r="S76" s="364" t="n"/>
      <c r="T76" s="364" t="n"/>
      <c r="U76" s="364" t="n"/>
      <c r="V76" s="364" t="n"/>
      <c r="W76" s="364" t="n"/>
      <c r="X76" s="364" t="n"/>
      <c r="Y76" s="364" t="n"/>
      <c r="Z76" s="364" t="n"/>
    </row>
    <row r="77">
      <c r="A77" s="364" t="n"/>
      <c r="B77" s="364" t="n"/>
      <c r="C77" s="364" t="n"/>
      <c r="D77" s="364" t="n"/>
      <c r="E77" s="364" t="n"/>
      <c r="F77" s="364" t="n"/>
      <c r="G77" s="364" t="n"/>
      <c r="H77" s="364" t="n"/>
      <c r="I77" s="364" t="n"/>
      <c r="J77" s="364" t="n"/>
      <c r="K77" s="364" t="n"/>
      <c r="L77" s="364" t="n"/>
      <c r="M77" s="364" t="n"/>
      <c r="N77" s="364" t="n"/>
      <c r="O77" s="364" t="n"/>
      <c r="P77" s="364" t="n"/>
      <c r="Q77" s="364" t="n"/>
      <c r="R77" s="364" t="n"/>
      <c r="S77" s="364" t="n"/>
      <c r="T77" s="364" t="n"/>
      <c r="U77" s="364" t="n"/>
      <c r="V77" s="364" t="n"/>
      <c r="W77" s="364" t="n"/>
      <c r="X77" s="364" t="n"/>
      <c r="Y77" s="364" t="n"/>
      <c r="Z77" s="364" t="n"/>
    </row>
    <row r="78">
      <c r="A78" s="364" t="n"/>
      <c r="B78" s="364" t="n"/>
      <c r="C78" s="364" t="n"/>
      <c r="D78" s="364" t="n"/>
      <c r="E78" s="364" t="n"/>
      <c r="F78" s="364" t="n"/>
      <c r="G78" s="364" t="n"/>
      <c r="H78" s="364" t="n"/>
      <c r="I78" s="364" t="n"/>
      <c r="J78" s="364" t="n"/>
      <c r="K78" s="364" t="n"/>
      <c r="L78" s="364" t="n"/>
      <c r="M78" s="364" t="n"/>
      <c r="N78" s="364" t="n"/>
      <c r="O78" s="364" t="n"/>
      <c r="P78" s="364" t="n"/>
      <c r="Q78" s="364" t="n"/>
      <c r="R78" s="364" t="n"/>
      <c r="S78" s="364" t="n"/>
      <c r="T78" s="364" t="n"/>
      <c r="U78" s="364" t="n"/>
      <c r="V78" s="364" t="n"/>
      <c r="W78" s="364" t="n"/>
      <c r="X78" s="364" t="n"/>
      <c r="Y78" s="364" t="n"/>
      <c r="Z78" s="364" t="n"/>
    </row>
    <row r="79">
      <c r="A79" s="364" t="n"/>
      <c r="B79" s="364" t="n"/>
      <c r="C79" s="364" t="n"/>
      <c r="D79" s="364" t="n"/>
      <c r="E79" s="364" t="n"/>
      <c r="F79" s="364" t="n"/>
      <c r="G79" s="364" t="n"/>
      <c r="H79" s="364" t="n"/>
      <c r="I79" s="364" t="n"/>
      <c r="J79" s="364" t="n"/>
      <c r="K79" s="364" t="n"/>
      <c r="L79" s="364" t="n"/>
      <c r="M79" s="364" t="n"/>
      <c r="N79" s="364" t="n"/>
      <c r="O79" s="364" t="n"/>
      <c r="P79" s="364" t="n"/>
      <c r="Q79" s="364" t="n"/>
      <c r="R79" s="364" t="n"/>
      <c r="S79" s="364" t="n"/>
      <c r="T79" s="364" t="n"/>
      <c r="U79" s="364" t="n"/>
      <c r="V79" s="364" t="n"/>
      <c r="W79" s="364" t="n"/>
      <c r="X79" s="364" t="n"/>
      <c r="Y79" s="364" t="n"/>
      <c r="Z79" s="364" t="n"/>
    </row>
    <row r="80">
      <c r="A80" s="364" t="n"/>
      <c r="B80" s="364" t="n"/>
      <c r="C80" s="364" t="n"/>
      <c r="D80" s="364" t="n"/>
      <c r="E80" s="364" t="n"/>
      <c r="F80" s="364" t="n"/>
      <c r="G80" s="364" t="n"/>
      <c r="H80" s="364" t="n"/>
      <c r="I80" s="364" t="n"/>
      <c r="J80" s="364" t="n"/>
      <c r="K80" s="364" t="n"/>
      <c r="L80" s="364" t="n"/>
      <c r="M80" s="364" t="n"/>
      <c r="N80" s="364" t="n"/>
      <c r="O80" s="364" t="n"/>
      <c r="P80" s="364" t="n"/>
      <c r="Q80" s="364" t="n"/>
      <c r="R80" s="364" t="n"/>
      <c r="S80" s="364" t="n"/>
      <c r="T80" s="364" t="n"/>
      <c r="U80" s="364" t="n"/>
      <c r="V80" s="364" t="n"/>
      <c r="W80" s="364" t="n"/>
      <c r="X80" s="364" t="n"/>
      <c r="Y80" s="364" t="n"/>
      <c r="Z80" s="364" t="n"/>
    </row>
    <row r="81">
      <c r="A81" s="364" t="n"/>
      <c r="B81" s="364" t="n"/>
      <c r="C81" s="364" t="n"/>
      <c r="D81" s="364" t="n"/>
      <c r="E81" s="364" t="n"/>
      <c r="F81" s="364" t="n"/>
      <c r="G81" s="364" t="n"/>
      <c r="H81" s="364" t="n"/>
      <c r="I81" s="364" t="n"/>
      <c r="J81" s="364" t="n"/>
      <c r="K81" s="364" t="n"/>
      <c r="L81" s="364" t="n"/>
      <c r="M81" s="364" t="n"/>
      <c r="N81" s="364" t="n"/>
      <c r="O81" s="364" t="n"/>
      <c r="P81" s="364" t="n"/>
      <c r="Q81" s="364" t="n"/>
      <c r="R81" s="364" t="n"/>
      <c r="S81" s="364" t="n"/>
      <c r="T81" s="364" t="n"/>
      <c r="U81" s="364" t="n"/>
      <c r="V81" s="364" t="n"/>
      <c r="W81" s="364" t="n"/>
      <c r="X81" s="364" t="n"/>
      <c r="Y81" s="364" t="n"/>
      <c r="Z81" s="364" t="n"/>
    </row>
    <row r="82">
      <c r="A82" s="364" t="n"/>
      <c r="B82" s="364" t="n"/>
      <c r="C82" s="364" t="n"/>
      <c r="D82" s="364" t="n"/>
      <c r="E82" s="364" t="n"/>
      <c r="F82" s="364" t="n"/>
      <c r="G82" s="364" t="n"/>
      <c r="H82" s="364" t="n"/>
      <c r="I82" s="364" t="n"/>
      <c r="J82" s="364" t="n"/>
      <c r="K82" s="364" t="n"/>
      <c r="L82" s="364" t="n"/>
      <c r="M82" s="364" t="n"/>
      <c r="N82" s="364" t="n"/>
      <c r="O82" s="364" t="n"/>
      <c r="P82" s="364" t="n"/>
      <c r="Q82" s="364" t="n"/>
      <c r="R82" s="364" t="n"/>
      <c r="S82" s="364" t="n"/>
      <c r="T82" s="364" t="n"/>
      <c r="U82" s="364" t="n"/>
      <c r="V82" s="364" t="n"/>
      <c r="W82" s="364" t="n"/>
      <c r="X82" s="364" t="n"/>
      <c r="Y82" s="364" t="n"/>
      <c r="Z82" s="364" t="n"/>
    </row>
    <row r="83">
      <c r="A83" s="364" t="n"/>
      <c r="B83" s="364" t="n"/>
      <c r="C83" s="364" t="n"/>
      <c r="D83" s="364" t="n"/>
      <c r="E83" s="364" t="n"/>
      <c r="F83" s="364" t="n"/>
      <c r="G83" s="364" t="n"/>
      <c r="H83" s="364" t="n"/>
      <c r="I83" s="364" t="n"/>
      <c r="J83" s="364" t="n"/>
      <c r="K83" s="364" t="n"/>
      <c r="L83" s="364" t="n"/>
      <c r="M83" s="364" t="n"/>
      <c r="N83" s="364" t="n"/>
      <c r="O83" s="364" t="n"/>
      <c r="P83" s="364" t="n"/>
      <c r="Q83" s="364" t="n"/>
      <c r="R83" s="364" t="n"/>
      <c r="S83" s="364" t="n"/>
      <c r="T83" s="364" t="n"/>
      <c r="U83" s="364" t="n"/>
      <c r="V83" s="364" t="n"/>
      <c r="W83" s="364" t="n"/>
      <c r="X83" s="364" t="n"/>
      <c r="Y83" s="364" t="n"/>
      <c r="Z83" s="364" t="n"/>
    </row>
    <row r="84">
      <c r="A84" s="364" t="n"/>
      <c r="B84" s="364" t="n"/>
      <c r="C84" s="364" t="n"/>
      <c r="D84" s="364" t="n"/>
      <c r="E84" s="364" t="n"/>
      <c r="F84" s="364" t="n"/>
      <c r="G84" s="364" t="n"/>
      <c r="H84" s="364" t="n"/>
      <c r="I84" s="364" t="n"/>
      <c r="J84" s="364" t="n"/>
      <c r="K84" s="364" t="n"/>
      <c r="L84" s="364" t="n"/>
      <c r="M84" s="364" t="n"/>
      <c r="N84" s="364" t="n"/>
      <c r="O84" s="364" t="n"/>
      <c r="P84" s="364" t="n"/>
      <c r="Q84" s="364" t="n"/>
      <c r="R84" s="364" t="n"/>
      <c r="S84" s="364" t="n"/>
      <c r="T84" s="364" t="n"/>
      <c r="U84" s="364" t="n"/>
      <c r="V84" s="364" t="n"/>
      <c r="W84" s="364" t="n"/>
      <c r="X84" s="364" t="n"/>
      <c r="Y84" s="364" t="n"/>
      <c r="Z84" s="364" t="n"/>
    </row>
    <row r="85">
      <c r="A85" s="364" t="n"/>
      <c r="B85" s="364" t="n"/>
      <c r="C85" s="364" t="n"/>
      <c r="D85" s="364" t="n"/>
      <c r="E85" s="364" t="n"/>
      <c r="F85" s="364" t="n"/>
      <c r="G85" s="364" t="n"/>
      <c r="H85" s="364" t="n"/>
      <c r="I85" s="364" t="n"/>
      <c r="J85" s="364" t="n"/>
      <c r="K85" s="364" t="n"/>
      <c r="L85" s="364" t="n"/>
      <c r="M85" s="364" t="n"/>
      <c r="N85" s="364" t="n"/>
      <c r="O85" s="364" t="n"/>
      <c r="P85" s="364" t="n"/>
      <c r="Q85" s="364" t="n"/>
      <c r="R85" s="364" t="n"/>
      <c r="S85" s="364" t="n"/>
      <c r="T85" s="364" t="n"/>
      <c r="U85" s="364" t="n"/>
      <c r="V85" s="364" t="n"/>
      <c r="W85" s="364" t="n"/>
      <c r="X85" s="364" t="n"/>
      <c r="Y85" s="364" t="n"/>
      <c r="Z85" s="364" t="n"/>
    </row>
    <row r="86">
      <c r="A86" s="364" t="n"/>
      <c r="B86" s="364" t="n"/>
      <c r="C86" s="364" t="n"/>
      <c r="D86" s="364" t="n"/>
      <c r="E86" s="364" t="n"/>
      <c r="F86" s="364" t="n"/>
      <c r="G86" s="364" t="n"/>
      <c r="H86" s="364" t="n"/>
      <c r="I86" s="364" t="n"/>
      <c r="J86" s="364" t="n"/>
      <c r="K86" s="364" t="n"/>
      <c r="L86" s="364" t="n"/>
      <c r="M86" s="364" t="n"/>
      <c r="N86" s="364" t="n"/>
      <c r="O86" s="364" t="n"/>
      <c r="P86" s="364" t="n"/>
      <c r="Q86" s="364" t="n"/>
      <c r="R86" s="364" t="n"/>
      <c r="S86" s="364" t="n"/>
      <c r="T86" s="364" t="n"/>
      <c r="U86" s="364" t="n"/>
      <c r="V86" s="364" t="n"/>
      <c r="W86" s="364" t="n"/>
      <c r="X86" s="364" t="n"/>
      <c r="Y86" s="364" t="n"/>
      <c r="Z86" s="364" t="n"/>
    </row>
    <row r="87">
      <c r="A87" s="364" t="n"/>
      <c r="B87" s="364" t="n"/>
      <c r="C87" s="364" t="n"/>
      <c r="D87" s="364" t="n"/>
      <c r="E87" s="364" t="n"/>
      <c r="F87" s="364" t="n"/>
      <c r="G87" s="364" t="n"/>
      <c r="H87" s="364" t="n"/>
      <c r="I87" s="364" t="n"/>
      <c r="J87" s="364" t="n"/>
      <c r="K87" s="364" t="n"/>
      <c r="L87" s="364" t="n"/>
      <c r="M87" s="364" t="n"/>
      <c r="N87" s="364" t="n"/>
      <c r="O87" s="364" t="n"/>
      <c r="P87" s="364" t="n"/>
      <c r="Q87" s="364" t="n"/>
      <c r="R87" s="364" t="n"/>
      <c r="S87" s="364" t="n"/>
      <c r="T87" s="364" t="n"/>
      <c r="U87" s="364" t="n"/>
      <c r="V87" s="364" t="n"/>
      <c r="W87" s="364" t="n"/>
      <c r="X87" s="364" t="n"/>
      <c r="Y87" s="364" t="n"/>
      <c r="Z87" s="364" t="n"/>
    </row>
    <row r="88">
      <c r="A88" s="364" t="n"/>
      <c r="B88" s="364" t="n"/>
      <c r="C88" s="364" t="n"/>
      <c r="D88" s="364" t="n"/>
      <c r="E88" s="364" t="n"/>
      <c r="F88" s="364" t="n"/>
      <c r="G88" s="364" t="n"/>
      <c r="H88" s="364" t="n"/>
      <c r="I88" s="364" t="n"/>
      <c r="J88" s="364" t="n"/>
      <c r="K88" s="364" t="n"/>
      <c r="L88" s="364" t="n"/>
      <c r="M88" s="364" t="n"/>
      <c r="N88" s="364" t="n"/>
      <c r="O88" s="364" t="n"/>
      <c r="P88" s="364" t="n"/>
      <c r="Q88" s="364" t="n"/>
      <c r="R88" s="364" t="n"/>
      <c r="S88" s="364" t="n"/>
      <c r="T88" s="364" t="n"/>
      <c r="U88" s="364" t="n"/>
      <c r="V88" s="364" t="n"/>
      <c r="W88" s="364" t="n"/>
      <c r="X88" s="364" t="n"/>
      <c r="Y88" s="364" t="n"/>
      <c r="Z88" s="364" t="n"/>
    </row>
    <row r="89">
      <c r="A89" s="364" t="n"/>
      <c r="B89" s="364" t="n"/>
      <c r="C89" s="364" t="n"/>
      <c r="D89" s="364" t="n"/>
      <c r="E89" s="364" t="n"/>
      <c r="F89" s="364" t="n"/>
      <c r="G89" s="364" t="n"/>
      <c r="H89" s="364" t="n"/>
      <c r="I89" s="364" t="n"/>
      <c r="J89" s="364" t="n"/>
      <c r="K89" s="364" t="n"/>
      <c r="L89" s="364" t="n"/>
      <c r="M89" s="364" t="n"/>
      <c r="N89" s="364" t="n"/>
      <c r="O89" s="364" t="n"/>
      <c r="P89" s="364" t="n"/>
      <c r="Q89" s="364" t="n"/>
      <c r="R89" s="364" t="n"/>
      <c r="S89" s="364" t="n"/>
      <c r="T89" s="364" t="n"/>
      <c r="U89" s="364" t="n"/>
      <c r="V89" s="364" t="n"/>
      <c r="W89" s="364" t="n"/>
      <c r="X89" s="364" t="n"/>
      <c r="Y89" s="364" t="n"/>
      <c r="Z89" s="364" t="n"/>
    </row>
    <row r="90">
      <c r="A90" s="364" t="n"/>
      <c r="B90" s="364" t="n"/>
      <c r="C90" s="364" t="n"/>
      <c r="D90" s="364" t="n"/>
      <c r="E90" s="364" t="n"/>
      <c r="F90" s="364" t="n"/>
      <c r="G90" s="364" t="n"/>
      <c r="H90" s="364" t="n"/>
      <c r="I90" s="364" t="n"/>
      <c r="J90" s="364" t="n"/>
      <c r="K90" s="364" t="n"/>
      <c r="L90" s="364" t="n"/>
      <c r="M90" s="364" t="n"/>
      <c r="N90" s="364" t="n"/>
      <c r="O90" s="364" t="n"/>
      <c r="P90" s="364" t="n"/>
      <c r="Q90" s="364" t="n"/>
      <c r="R90" s="364" t="n"/>
      <c r="S90" s="364" t="n"/>
      <c r="T90" s="364" t="n"/>
      <c r="U90" s="364" t="n"/>
      <c r="V90" s="364" t="n"/>
      <c r="W90" s="364" t="n"/>
      <c r="X90" s="364" t="n"/>
      <c r="Y90" s="364" t="n"/>
      <c r="Z90" s="364" t="n"/>
    </row>
    <row r="91">
      <c r="A91" s="364" t="n"/>
      <c r="B91" s="364" t="n"/>
      <c r="C91" s="364" t="n"/>
      <c r="D91" s="364" t="n"/>
      <c r="E91" s="364" t="n"/>
      <c r="F91" s="364" t="n"/>
      <c r="G91" s="364" t="n"/>
      <c r="H91" s="364" t="n"/>
      <c r="I91" s="364" t="n"/>
      <c r="J91" s="364" t="n"/>
      <c r="K91" s="364" t="n"/>
      <c r="L91" s="364" t="n"/>
      <c r="M91" s="364" t="n"/>
      <c r="N91" s="364" t="n"/>
      <c r="O91" s="364" t="n"/>
      <c r="P91" s="364" t="n"/>
      <c r="Q91" s="364" t="n"/>
      <c r="R91" s="364" t="n"/>
      <c r="S91" s="364" t="n"/>
      <c r="T91" s="364" t="n"/>
      <c r="U91" s="364" t="n"/>
      <c r="V91" s="364" t="n"/>
      <c r="W91" s="364" t="n"/>
      <c r="X91" s="364" t="n"/>
      <c r="Y91" s="364" t="n"/>
      <c r="Z91" s="364" t="n"/>
    </row>
    <row r="92">
      <c r="A92" s="364" t="n"/>
      <c r="B92" s="364" t="n"/>
      <c r="C92" s="364" t="n"/>
      <c r="D92" s="364" t="n"/>
      <c r="E92" s="364" t="n"/>
      <c r="F92" s="364" t="n"/>
      <c r="G92" s="364" t="n"/>
      <c r="H92" s="364" t="n"/>
      <c r="I92" s="364" t="n"/>
      <c r="J92" s="364" t="n"/>
      <c r="K92" s="364" t="n"/>
      <c r="L92" s="364" t="n"/>
      <c r="M92" s="364" t="n"/>
      <c r="N92" s="364" t="n"/>
      <c r="O92" s="364" t="n"/>
      <c r="P92" s="364" t="n"/>
      <c r="Q92" s="364" t="n"/>
      <c r="R92" s="364" t="n"/>
      <c r="S92" s="364" t="n"/>
      <c r="T92" s="364" t="n"/>
      <c r="U92" s="364" t="n"/>
      <c r="V92" s="364" t="n"/>
      <c r="W92" s="364" t="n"/>
      <c r="X92" s="364" t="n"/>
      <c r="Y92" s="364" t="n"/>
      <c r="Z92" s="364" t="n"/>
    </row>
    <row r="93">
      <c r="A93" s="364" t="n"/>
      <c r="B93" s="364" t="n"/>
      <c r="C93" s="364" t="n"/>
      <c r="D93" s="364" t="n"/>
      <c r="E93" s="364" t="n"/>
      <c r="F93" s="364" t="n"/>
      <c r="G93" s="364" t="n"/>
      <c r="H93" s="364" t="n"/>
      <c r="I93" s="364" t="n"/>
      <c r="J93" s="364" t="n"/>
      <c r="K93" s="364" t="n"/>
      <c r="L93" s="364" t="n"/>
      <c r="M93" s="364" t="n"/>
      <c r="N93" s="364" t="n"/>
      <c r="O93" s="364" t="n"/>
      <c r="P93" s="364" t="n"/>
      <c r="Q93" s="364" t="n"/>
      <c r="R93" s="364" t="n"/>
      <c r="S93" s="364" t="n"/>
      <c r="T93" s="364" t="n"/>
      <c r="U93" s="364" t="n"/>
      <c r="V93" s="364" t="n"/>
      <c r="W93" s="364" t="n"/>
      <c r="X93" s="364" t="n"/>
      <c r="Y93" s="364" t="n"/>
      <c r="Z93" s="364" t="n"/>
    </row>
    <row r="94">
      <c r="A94" s="364" t="n"/>
      <c r="B94" s="364" t="n"/>
      <c r="C94" s="364" t="n"/>
      <c r="D94" s="364" t="n"/>
      <c r="E94" s="364" t="n"/>
      <c r="F94" s="364" t="n"/>
      <c r="G94" s="364" t="n"/>
      <c r="H94" s="364" t="n"/>
      <c r="I94" s="364" t="n"/>
      <c r="J94" s="364" t="n"/>
      <c r="K94" s="364" t="n"/>
      <c r="L94" s="364" t="n"/>
      <c r="M94" s="364" t="n"/>
      <c r="N94" s="364" t="n"/>
      <c r="O94" s="364" t="n"/>
      <c r="P94" s="364" t="n"/>
      <c r="Q94" s="364" t="n"/>
      <c r="R94" s="364" t="n"/>
      <c r="S94" s="364" t="n"/>
      <c r="T94" s="364" t="n"/>
      <c r="U94" s="364" t="n"/>
      <c r="V94" s="364" t="n"/>
      <c r="W94" s="364" t="n"/>
      <c r="X94" s="364" t="n"/>
      <c r="Y94" s="364" t="n"/>
      <c r="Z94" s="364" t="n"/>
    </row>
    <row r="95">
      <c r="A95" s="364" t="n"/>
      <c r="B95" s="364" t="n"/>
      <c r="C95" s="364" t="n"/>
      <c r="D95" s="364" t="n"/>
      <c r="E95" s="364" t="n"/>
      <c r="F95" s="364" t="n"/>
      <c r="G95" s="364" t="n"/>
      <c r="H95" s="364" t="n"/>
      <c r="I95" s="364" t="n"/>
      <c r="J95" s="364" t="n"/>
      <c r="K95" s="364" t="n"/>
      <c r="L95" s="364" t="n"/>
      <c r="M95" s="364" t="n"/>
      <c r="N95" s="364" t="n"/>
      <c r="O95" s="364" t="n"/>
      <c r="P95" s="364" t="n"/>
      <c r="Q95" s="364" t="n"/>
      <c r="R95" s="364" t="n"/>
      <c r="S95" s="364" t="n"/>
      <c r="T95" s="364" t="n"/>
      <c r="U95" s="364" t="n"/>
      <c r="V95" s="364" t="n"/>
      <c r="W95" s="364" t="n"/>
      <c r="X95" s="364" t="n"/>
      <c r="Y95" s="364" t="n"/>
      <c r="Z95" s="364" t="n"/>
    </row>
    <row r="96">
      <c r="A96" s="364" t="n"/>
      <c r="B96" s="364" t="n"/>
      <c r="C96" s="364" t="n"/>
      <c r="D96" s="364" t="n"/>
      <c r="E96" s="364" t="n"/>
      <c r="F96" s="364" t="n"/>
      <c r="G96" s="364" t="n"/>
      <c r="H96" s="364" t="n"/>
      <c r="I96" s="364" t="n"/>
      <c r="J96" s="364" t="n"/>
      <c r="K96" s="364" t="n"/>
      <c r="L96" s="364" t="n"/>
      <c r="M96" s="364" t="n"/>
      <c r="N96" s="364" t="n"/>
      <c r="O96" s="364" t="n"/>
      <c r="P96" s="364" t="n"/>
      <c r="Q96" s="364" t="n"/>
      <c r="R96" s="364" t="n"/>
      <c r="S96" s="364" t="n"/>
      <c r="T96" s="364" t="n"/>
      <c r="U96" s="364" t="n"/>
      <c r="V96" s="364" t="n"/>
      <c r="W96" s="364" t="n"/>
      <c r="X96" s="364" t="n"/>
      <c r="Y96" s="364" t="n"/>
      <c r="Z96" s="364" t="n"/>
    </row>
    <row r="97">
      <c r="A97" s="364" t="n"/>
      <c r="B97" s="364" t="n"/>
      <c r="C97" s="364" t="n"/>
      <c r="D97" s="364" t="n"/>
      <c r="E97" s="364" t="n"/>
      <c r="F97" s="364" t="n"/>
      <c r="G97" s="364" t="n"/>
      <c r="H97" s="364" t="n"/>
      <c r="I97" s="364" t="n"/>
      <c r="J97" s="364" t="n"/>
      <c r="K97" s="364" t="n"/>
      <c r="L97" s="364" t="n"/>
      <c r="M97" s="364" t="n"/>
      <c r="N97" s="364" t="n"/>
      <c r="O97" s="364" t="n"/>
      <c r="P97" s="364" t="n"/>
      <c r="Q97" s="364" t="n"/>
      <c r="R97" s="364" t="n"/>
      <c r="S97" s="364" t="n"/>
      <c r="T97" s="364" t="n"/>
      <c r="U97" s="364" t="n"/>
      <c r="V97" s="364" t="n"/>
      <c r="W97" s="364" t="n"/>
      <c r="X97" s="364" t="n"/>
      <c r="Y97" s="364" t="n"/>
      <c r="Z97" s="364" t="n"/>
    </row>
    <row r="98">
      <c r="A98" s="364" t="n"/>
      <c r="B98" s="364" t="n"/>
      <c r="C98" s="364" t="n"/>
      <c r="D98" s="364" t="n"/>
      <c r="E98" s="364" t="n"/>
      <c r="F98" s="364" t="n"/>
      <c r="G98" s="364" t="n"/>
      <c r="H98" s="364" t="n"/>
      <c r="I98" s="364" t="n"/>
      <c r="J98" s="364" t="n"/>
      <c r="K98" s="364" t="n"/>
      <c r="L98" s="364" t="n"/>
      <c r="M98" s="364" t="n"/>
      <c r="N98" s="364" t="n"/>
      <c r="O98" s="364" t="n"/>
      <c r="P98" s="364" t="n"/>
      <c r="Q98" s="364" t="n"/>
      <c r="R98" s="364" t="n"/>
      <c r="S98" s="364" t="n"/>
      <c r="T98" s="364" t="n"/>
      <c r="U98" s="364" t="n"/>
      <c r="V98" s="364" t="n"/>
      <c r="W98" s="364" t="n"/>
      <c r="X98" s="364" t="n"/>
      <c r="Y98" s="364" t="n"/>
      <c r="Z98" s="364" t="n"/>
    </row>
    <row r="99">
      <c r="A99" s="364" t="n"/>
      <c r="B99" s="364" t="n"/>
      <c r="C99" s="364" t="n"/>
      <c r="D99" s="364" t="n"/>
      <c r="E99" s="364" t="n"/>
      <c r="F99" s="364" t="n"/>
      <c r="G99" s="364" t="n"/>
      <c r="H99" s="364" t="n"/>
      <c r="I99" s="364" t="n"/>
      <c r="J99" s="364" t="n"/>
      <c r="K99" s="364" t="n"/>
      <c r="L99" s="364" t="n"/>
      <c r="M99" s="364" t="n"/>
      <c r="N99" s="364" t="n"/>
      <c r="O99" s="364" t="n"/>
      <c r="P99" s="364" t="n"/>
      <c r="Q99" s="364" t="n"/>
      <c r="R99" s="364" t="n"/>
      <c r="S99" s="364" t="n"/>
      <c r="T99" s="364" t="n"/>
      <c r="U99" s="364" t="n"/>
      <c r="V99" s="364" t="n"/>
      <c r="W99" s="364" t="n"/>
      <c r="X99" s="364" t="n"/>
      <c r="Y99" s="364" t="n"/>
      <c r="Z99" s="364" t="n"/>
    </row>
    <row r="100">
      <c r="A100" s="364" t="n"/>
      <c r="B100" s="364" t="n"/>
      <c r="C100" s="364" t="n"/>
      <c r="D100" s="364" t="n"/>
      <c r="E100" s="364" t="n"/>
      <c r="F100" s="364" t="n"/>
      <c r="G100" s="364" t="n"/>
      <c r="H100" s="364" t="n"/>
      <c r="I100" s="364" t="n"/>
      <c r="J100" s="364" t="n"/>
      <c r="K100" s="364" t="n"/>
      <c r="L100" s="364" t="n"/>
      <c r="M100" s="364" t="n"/>
      <c r="N100" s="364" t="n"/>
      <c r="O100" s="364" t="n"/>
      <c r="P100" s="364" t="n"/>
      <c r="Q100" s="364" t="n"/>
      <c r="R100" s="364" t="n"/>
      <c r="S100" s="364" t="n"/>
      <c r="T100" s="364" t="n"/>
      <c r="U100" s="364" t="n"/>
      <c r="V100" s="364" t="n"/>
      <c r="W100" s="364" t="n"/>
      <c r="X100" s="364" t="n"/>
      <c r="Y100" s="364" t="n"/>
      <c r="Z100" s="364" t="n"/>
    </row>
  </sheetData>
  <mergeCells count="4">
    <mergeCell ref="A2:E2"/>
    <mergeCell ref="A1:E1"/>
    <mergeCell ref="A4:E4"/>
    <mergeCell ref="A14:E14"/>
  </mergeCells>
  <pageMargins left="0.7" right="0.7" top="0.75" bottom="0.75" header="0.3" footer="0.3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00"/>
  <sheetViews>
    <sheetView showGridLines="0" workbookViewId="0">
      <selection activeCell="A1" sqref="A1"/>
    </sheetView>
  </sheetViews>
  <sheetFormatPr baseColWidth="8" defaultRowHeight="15"/>
  <cols>
    <col width="24" customWidth="1" style="34" min="1" max="1"/>
    <col width="16" customWidth="1" style="34" min="2" max="2"/>
    <col width="72" customWidth="1" style="34" min="3" max="3"/>
    <col width="62" customWidth="1" style="34" min="4" max="4"/>
  </cols>
  <sheetData>
    <row r="1" ht="19.20000076293945" customHeight="1" s="34">
      <c r="A1" s="567" t="inlineStr">
        <is>
          <t>Benchmark Feedback</t>
        </is>
      </c>
      <c r="B1" s="1" t="n"/>
      <c r="C1" s="1" t="n"/>
      <c r="D1" s="1" t="n"/>
      <c r="E1" s="566" t="n"/>
      <c r="F1" s="566" t="n"/>
      <c r="G1" s="566" t="n"/>
      <c r="H1" s="566" t="n"/>
      <c r="I1" s="566" t="n"/>
      <c r="J1" s="566" t="n"/>
      <c r="K1" s="566" t="n"/>
      <c r="L1" s="566" t="n"/>
      <c r="M1" s="566" t="n"/>
      <c r="N1" s="566" t="n"/>
      <c r="O1" s="566" t="n"/>
      <c r="P1" s="566" t="n"/>
      <c r="Q1" s="566" t="n"/>
      <c r="R1" s="566" t="n"/>
      <c r="S1" s="566" t="n"/>
      <c r="T1" s="566" t="n"/>
      <c r="U1" s="566" t="n"/>
      <c r="V1" s="566" t="n"/>
      <c r="W1" s="566" t="n"/>
      <c r="X1" s="566" t="n"/>
      <c r="Y1" s="566" t="n"/>
      <c r="Z1" s="566" t="n"/>
    </row>
    <row r="2" ht="15" customHeight="1" s="34">
      <c r="A2" s="522" t="inlineStr">
        <is>
          <t>Internal benchmark heuristics used to flag assumptions that investors may challenge.</t>
        </is>
      </c>
      <c r="B2" s="1" t="n"/>
      <c r="C2" s="1" t="n"/>
      <c r="D2" s="1" t="n"/>
      <c r="E2" s="364" t="n"/>
      <c r="F2" s="364" t="n"/>
      <c r="G2" s="364" t="n"/>
      <c r="H2" s="364" t="n"/>
      <c r="I2" s="364" t="n"/>
      <c r="J2" s="364" t="n"/>
      <c r="K2" s="364" t="n"/>
      <c r="L2" s="364" t="n"/>
      <c r="M2" s="364" t="n"/>
      <c r="N2" s="364" t="n"/>
      <c r="O2" s="364" t="n"/>
      <c r="P2" s="364" t="n"/>
      <c r="Q2" s="364" t="n"/>
      <c r="R2" s="364" t="n"/>
      <c r="S2" s="364" t="n"/>
      <c r="T2" s="364" t="n"/>
      <c r="U2" s="364" t="n"/>
      <c r="V2" s="364" t="n"/>
      <c r="W2" s="364" t="n"/>
      <c r="X2" s="364" t="n"/>
      <c r="Y2" s="364" t="n"/>
      <c r="Z2" s="364" t="n"/>
    </row>
    <row r="3" ht="15" customHeight="1" s="34">
      <c r="A3" s="364" t="n"/>
      <c r="B3" s="364" t="n"/>
      <c r="C3" s="364" t="n"/>
      <c r="D3" s="364" t="n"/>
      <c r="E3" s="364" t="n"/>
      <c r="F3" s="364" t="n"/>
      <c r="G3" s="364" t="n"/>
      <c r="H3" s="364" t="n"/>
      <c r="I3" s="364" t="n"/>
      <c r="J3" s="364" t="n"/>
      <c r="K3" s="364" t="n"/>
      <c r="L3" s="364" t="n"/>
      <c r="M3" s="364" t="n"/>
      <c r="N3" s="364" t="n"/>
      <c r="O3" s="364" t="n"/>
      <c r="P3" s="364" t="n"/>
      <c r="Q3" s="364" t="n"/>
      <c r="R3" s="364" t="n"/>
      <c r="S3" s="364" t="n"/>
      <c r="T3" s="364" t="n"/>
      <c r="U3" s="364" t="n"/>
      <c r="V3" s="364" t="n"/>
      <c r="W3" s="364" t="n"/>
      <c r="X3" s="364" t="n"/>
      <c r="Y3" s="364" t="n"/>
      <c r="Z3" s="364" t="n"/>
    </row>
    <row r="4" ht="15" customHeight="1" s="34">
      <c r="A4" s="523" t="inlineStr">
        <is>
          <t>Benchmark Findings</t>
        </is>
      </c>
      <c r="B4" s="1" t="n"/>
      <c r="C4" s="1" t="n"/>
      <c r="D4" s="1" t="n"/>
      <c r="E4" s="364" t="n"/>
      <c r="F4" s="364" t="n"/>
      <c r="G4" s="364" t="n"/>
      <c r="H4" s="364" t="n"/>
      <c r="I4" s="364" t="n"/>
      <c r="J4" s="364" t="n"/>
      <c r="K4" s="364" t="n"/>
      <c r="L4" s="364" t="n"/>
      <c r="M4" s="364" t="n"/>
      <c r="N4" s="364" t="n"/>
      <c r="O4" s="364" t="n"/>
      <c r="P4" s="364" t="n"/>
      <c r="Q4" s="364" t="n"/>
      <c r="R4" s="364" t="n"/>
      <c r="S4" s="364" t="n"/>
      <c r="T4" s="364" t="n"/>
      <c r="U4" s="364" t="n"/>
      <c r="V4" s="364" t="n"/>
      <c r="W4" s="364" t="n"/>
      <c r="X4" s="364" t="n"/>
      <c r="Y4" s="364" t="n"/>
      <c r="Z4" s="364" t="n"/>
    </row>
    <row r="5" ht="15" customHeight="1" s="34">
      <c r="A5" s="503" t="inlineStr">
        <is>
          <t>Category</t>
        </is>
      </c>
      <c r="B5" s="504" t="inlineStr">
        <is>
          <t>Status</t>
        </is>
      </c>
      <c r="C5" s="504" t="inlineStr">
        <is>
          <t>Feedback</t>
        </is>
      </c>
      <c r="D5" s="505" t="inlineStr">
        <is>
          <t>Benchmark Basis</t>
        </is>
      </c>
      <c r="E5" s="364" t="n"/>
      <c r="F5" s="364" t="n"/>
      <c r="G5" s="364" t="n"/>
      <c r="H5" s="364" t="n"/>
      <c r="I5" s="364" t="n"/>
      <c r="J5" s="364" t="n"/>
      <c r="K5" s="364" t="n"/>
      <c r="L5" s="364" t="n"/>
      <c r="M5" s="364" t="n"/>
      <c r="N5" s="364" t="n"/>
      <c r="O5" s="364" t="n"/>
      <c r="P5" s="364" t="n"/>
      <c r="Q5" s="364" t="n"/>
      <c r="R5" s="364" t="n"/>
      <c r="S5" s="364" t="n"/>
      <c r="T5" s="364" t="n"/>
      <c r="U5" s="364" t="n"/>
      <c r="V5" s="364" t="n"/>
      <c r="W5" s="364" t="n"/>
      <c r="X5" s="364" t="n"/>
      <c r="Y5" s="364" t="n"/>
      <c r="Z5" s="364" t="n"/>
    </row>
    <row r="6" ht="60" customHeight="1" s="34">
      <c r="A6" s="506" t="inlineStr">
        <is>
          <t>Gross Margin</t>
        </is>
      </c>
      <c r="B6" s="684" t="inlineStr">
        <is>
          <t>Green</t>
        </is>
      </c>
      <c r="C6" s="644" t="inlineStr">
        <is>
          <t>Gross Margin is within the typical Vertical SaaS / AI Software benchmark range.</t>
        </is>
      </c>
      <c r="D6" s="646" t="inlineStr">
        <is>
          <t>Internal range: 50%–85%</t>
        </is>
      </c>
      <c r="E6" s="364" t="n"/>
      <c r="F6" s="364" t="n"/>
      <c r="G6" s="364" t="n"/>
      <c r="H6" s="364" t="n"/>
      <c r="I6" s="364" t="n"/>
      <c r="J6" s="364" t="n"/>
      <c r="K6" s="364" t="n"/>
      <c r="L6" s="364" t="n"/>
      <c r="M6" s="364" t="n"/>
      <c r="N6" s="364" t="n"/>
      <c r="O6" s="364" t="n"/>
      <c r="P6" s="364" t="n"/>
      <c r="Q6" s="364" t="n"/>
      <c r="R6" s="364" t="n"/>
      <c r="S6" s="364" t="n"/>
      <c r="T6" s="364" t="n"/>
      <c r="U6" s="364" t="n"/>
      <c r="V6" s="364" t="n"/>
      <c r="W6" s="364" t="n"/>
      <c r="X6" s="364" t="n"/>
      <c r="Y6" s="364" t="n"/>
      <c r="Z6" s="364" t="n"/>
    </row>
    <row r="7" ht="60" customHeight="1" s="34">
      <c r="A7" s="506" t="inlineStr">
        <is>
          <t>Year 2 Growth</t>
        </is>
      </c>
      <c r="B7" s="684" t="inlineStr">
        <is>
          <t>Green</t>
        </is>
      </c>
      <c r="C7" s="644" t="inlineStr">
        <is>
          <t>Year 2 Growth is within the typical Vertical SaaS / AI Software benchmark range.</t>
        </is>
      </c>
      <c r="D7" s="646" t="inlineStr">
        <is>
          <t>Internal range: 50%–150%</t>
        </is>
      </c>
      <c r="E7" s="364" t="n"/>
      <c r="F7" s="364" t="n"/>
      <c r="G7" s="364" t="n"/>
      <c r="H7" s="364" t="n"/>
      <c r="I7" s="364" t="n"/>
      <c r="J7" s="364" t="n"/>
      <c r="K7" s="364" t="n"/>
      <c r="L7" s="364" t="n"/>
      <c r="M7" s="364" t="n"/>
      <c r="N7" s="364" t="n"/>
      <c r="O7" s="364" t="n"/>
      <c r="P7" s="364" t="n"/>
      <c r="Q7" s="364" t="n"/>
      <c r="R7" s="364" t="n"/>
      <c r="S7" s="364" t="n"/>
      <c r="T7" s="364" t="n"/>
      <c r="U7" s="364" t="n"/>
      <c r="V7" s="364" t="n"/>
      <c r="W7" s="364" t="n"/>
      <c r="X7" s="364" t="n"/>
      <c r="Y7" s="364" t="n"/>
      <c r="Z7" s="364" t="n"/>
    </row>
    <row r="8" ht="60" customHeight="1" s="34">
      <c r="A8" s="506" t="inlineStr">
        <is>
          <t>Year 3 Growth</t>
        </is>
      </c>
      <c r="B8" s="684" t="inlineStr">
        <is>
          <t>Green</t>
        </is>
      </c>
      <c r="C8" s="644" t="inlineStr">
        <is>
          <t>Year 3 Growth is within the typical Vertical SaaS / AI Software benchmark range.</t>
        </is>
      </c>
      <c r="D8" s="646" t="inlineStr">
        <is>
          <t>Internal range: 30%–100%</t>
        </is>
      </c>
      <c r="E8" s="364" t="n"/>
      <c r="F8" s="364" t="n"/>
      <c r="G8" s="364" t="n"/>
      <c r="H8" s="364" t="n"/>
      <c r="I8" s="364" t="n"/>
      <c r="J8" s="364" t="n"/>
      <c r="K8" s="364" t="n"/>
      <c r="L8" s="364" t="n"/>
      <c r="M8" s="364" t="n"/>
      <c r="N8" s="364" t="n"/>
      <c r="O8" s="364" t="n"/>
      <c r="P8" s="364" t="n"/>
      <c r="Q8" s="364" t="n"/>
      <c r="R8" s="364" t="n"/>
      <c r="S8" s="364" t="n"/>
      <c r="T8" s="364" t="n"/>
      <c r="U8" s="364" t="n"/>
      <c r="V8" s="364" t="n"/>
      <c r="W8" s="364" t="n"/>
      <c r="X8" s="364" t="n"/>
      <c r="Y8" s="364" t="n"/>
      <c r="Z8" s="364" t="n"/>
    </row>
    <row r="9" ht="60" customHeight="1" s="34">
      <c r="A9" s="506" t="inlineStr">
        <is>
          <t>Total OpEx Ratio</t>
        </is>
      </c>
      <c r="B9" s="685" t="inlineStr">
        <is>
          <t>Orange</t>
        </is>
      </c>
      <c r="C9" s="644" t="inlineStr">
        <is>
          <t>Total OpEx Ratio of 100% is above the typical benchmark range and needs stronger support.</t>
        </is>
      </c>
      <c r="D9" s="646" t="inlineStr">
        <is>
          <t>Internal range: 40%–75%</t>
        </is>
      </c>
      <c r="E9" s="364" t="n"/>
      <c r="F9" s="364" t="n"/>
      <c r="G9" s="364" t="n"/>
      <c r="H9" s="364" t="n"/>
      <c r="I9" s="364" t="n"/>
      <c r="J9" s="364" t="n"/>
      <c r="K9" s="364" t="n"/>
      <c r="L9" s="364" t="n"/>
      <c r="M9" s="364" t="n"/>
      <c r="N9" s="364" t="n"/>
      <c r="O9" s="364" t="n"/>
      <c r="P9" s="364" t="n"/>
      <c r="Q9" s="364" t="n"/>
      <c r="R9" s="364" t="n"/>
      <c r="S9" s="364" t="n"/>
      <c r="T9" s="364" t="n"/>
      <c r="U9" s="364" t="n"/>
      <c r="V9" s="364" t="n"/>
      <c r="W9" s="364" t="n"/>
      <c r="X9" s="364" t="n"/>
      <c r="Y9" s="364" t="n"/>
      <c r="Z9" s="364" t="n"/>
    </row>
    <row r="10" ht="60" customHeight="1" s="34">
      <c r="A10" s="506" t="inlineStr">
        <is>
          <t>Year 1 Volume</t>
        </is>
      </c>
      <c r="B10" s="681" t="inlineStr">
        <is>
          <t>Red</t>
        </is>
      </c>
      <c r="C10" s="644" t="inlineStr">
        <is>
          <t>Year 1 volume is above the typical benchmark range and needs stronger demand evidence.</t>
        </is>
      </c>
      <c r="D10" s="646" t="inlineStr">
        <is>
          <t>Internal range: 1,000–75,000</t>
        </is>
      </c>
      <c r="E10" s="364" t="n"/>
      <c r="F10" s="364" t="n"/>
      <c r="G10" s="364" t="n"/>
      <c r="H10" s="364" t="n"/>
      <c r="I10" s="364" t="n"/>
      <c r="J10" s="364" t="n"/>
      <c r="K10" s="364" t="n"/>
      <c r="L10" s="364" t="n"/>
      <c r="M10" s="364" t="n"/>
      <c r="N10" s="364" t="n"/>
      <c r="O10" s="364" t="n"/>
      <c r="P10" s="364" t="n"/>
      <c r="Q10" s="364" t="n"/>
      <c r="R10" s="364" t="n"/>
      <c r="S10" s="364" t="n"/>
      <c r="T10" s="364" t="n"/>
      <c r="U10" s="364" t="n"/>
      <c r="V10" s="364" t="n"/>
      <c r="W10" s="364" t="n"/>
      <c r="X10" s="364" t="n"/>
      <c r="Y10" s="364" t="n"/>
      <c r="Z10" s="364" t="n"/>
    </row>
    <row r="11" ht="60" customHeight="1" s="34">
      <c r="A11" s="513" t="inlineStr">
        <is>
          <t>Suggested Adjustment</t>
        </is>
      </c>
      <c r="B11" s="696" t="inlineStr">
        <is>
          <t>Action</t>
        </is>
      </c>
      <c r="C11" s="654" t="inlineStr">
        <is>
          <t>Clarify the unit definition, reduce or support Year 1 volume with bottom-up pipeline math, and validate gross margin with hosting, support, onboarding, and AI infrastructure costs.</t>
        </is>
      </c>
      <c r="D11" s="656" t="inlineStr">
        <is>
          <t>Investor readiness adjustment</t>
        </is>
      </c>
      <c r="E11" s="364" t="n"/>
      <c r="F11" s="364" t="n"/>
      <c r="G11" s="364" t="n"/>
      <c r="H11" s="364" t="n"/>
      <c r="I11" s="364" t="n"/>
      <c r="J11" s="364" t="n"/>
      <c r="K11" s="364" t="n"/>
      <c r="L11" s="364" t="n"/>
      <c r="M11" s="364" t="n"/>
      <c r="N11" s="364" t="n"/>
      <c r="O11" s="364" t="n"/>
      <c r="P11" s="364" t="n"/>
      <c r="Q11" s="364" t="n"/>
      <c r="R11" s="364" t="n"/>
      <c r="S11" s="364" t="n"/>
      <c r="T11" s="364" t="n"/>
      <c r="U11" s="364" t="n"/>
      <c r="V11" s="364" t="n"/>
      <c r="W11" s="364" t="n"/>
      <c r="X11" s="364" t="n"/>
      <c r="Y11" s="364" t="n"/>
      <c r="Z11" s="364" t="n"/>
    </row>
    <row r="12" ht="15" customHeight="1" s="34">
      <c r="A12" s="364" t="n"/>
      <c r="B12" s="364" t="n"/>
      <c r="C12" s="364" t="n"/>
      <c r="D12" s="364" t="n"/>
      <c r="E12" s="364" t="n"/>
      <c r="F12" s="364" t="n"/>
      <c r="G12" s="364" t="n"/>
      <c r="H12" s="364" t="n"/>
      <c r="I12" s="364" t="n"/>
      <c r="J12" s="364" t="n"/>
      <c r="K12" s="364" t="n"/>
      <c r="L12" s="364" t="n"/>
      <c r="M12" s="364" t="n"/>
      <c r="N12" s="364" t="n"/>
      <c r="O12" s="364" t="n"/>
      <c r="P12" s="364" t="n"/>
      <c r="Q12" s="364" t="n"/>
      <c r="R12" s="364" t="n"/>
      <c r="S12" s="364" t="n"/>
      <c r="T12" s="364" t="n"/>
      <c r="U12" s="364" t="n"/>
      <c r="V12" s="364" t="n"/>
      <c r="W12" s="364" t="n"/>
      <c r="X12" s="364" t="n"/>
      <c r="Y12" s="364" t="n"/>
      <c r="Z12" s="364" t="n"/>
    </row>
    <row r="13" ht="15" customHeight="1" s="34">
      <c r="A13" s="364" t="n"/>
      <c r="B13" s="364" t="n"/>
      <c r="C13" s="364" t="n"/>
      <c r="D13" s="364" t="n"/>
      <c r="E13" s="364" t="n"/>
      <c r="F13" s="364" t="n"/>
      <c r="G13" s="364" t="n"/>
      <c r="H13" s="364" t="n"/>
      <c r="I13" s="364" t="n"/>
      <c r="J13" s="364" t="n"/>
      <c r="K13" s="364" t="n"/>
      <c r="L13" s="364" t="n"/>
      <c r="M13" s="364" t="n"/>
      <c r="N13" s="364" t="n"/>
      <c r="O13" s="364" t="n"/>
      <c r="P13" s="364" t="n"/>
      <c r="Q13" s="364" t="n"/>
      <c r="R13" s="364" t="n"/>
      <c r="S13" s="364" t="n"/>
      <c r="T13" s="364" t="n"/>
      <c r="U13" s="364" t="n"/>
      <c r="V13" s="364" t="n"/>
      <c r="W13" s="364" t="n"/>
      <c r="X13" s="364" t="n"/>
      <c r="Y13" s="364" t="n"/>
      <c r="Z13" s="364" t="n"/>
    </row>
    <row r="14" ht="15" customHeight="1" s="34">
      <c r="A14" s="364" t="n"/>
      <c r="B14" s="364" t="n"/>
      <c r="C14" s="364" t="n"/>
      <c r="D14" s="364" t="n"/>
      <c r="E14" s="364" t="n"/>
      <c r="F14" s="364" t="n"/>
      <c r="G14" s="364" t="n"/>
      <c r="H14" s="364" t="n"/>
      <c r="I14" s="364" t="n"/>
      <c r="J14" s="364" t="n"/>
      <c r="K14" s="364" t="n"/>
      <c r="L14" s="364" t="n"/>
      <c r="M14" s="364" t="n"/>
      <c r="N14" s="364" t="n"/>
      <c r="O14" s="364" t="n"/>
      <c r="P14" s="364" t="n"/>
      <c r="Q14" s="364" t="n"/>
      <c r="R14" s="364" t="n"/>
      <c r="S14" s="364" t="n"/>
      <c r="T14" s="364" t="n"/>
      <c r="U14" s="364" t="n"/>
      <c r="V14" s="364" t="n"/>
      <c r="W14" s="364" t="n"/>
      <c r="X14" s="364" t="n"/>
      <c r="Y14" s="364" t="n"/>
      <c r="Z14" s="364" t="n"/>
    </row>
    <row r="15" ht="15" customHeight="1" s="34">
      <c r="A15" s="364" t="n"/>
      <c r="B15" s="364" t="n"/>
      <c r="C15" s="364" t="n"/>
      <c r="D15" s="364" t="n"/>
      <c r="E15" s="364" t="n"/>
      <c r="F15" s="364" t="n"/>
      <c r="G15" s="364" t="n"/>
      <c r="H15" s="364" t="n"/>
      <c r="I15" s="364" t="n"/>
      <c r="J15" s="364" t="n"/>
      <c r="K15" s="364" t="n"/>
      <c r="L15" s="364" t="n"/>
      <c r="M15" s="364" t="n"/>
      <c r="N15" s="364" t="n"/>
      <c r="O15" s="364" t="n"/>
      <c r="P15" s="364" t="n"/>
      <c r="Q15" s="364" t="n"/>
      <c r="R15" s="364" t="n"/>
      <c r="S15" s="364" t="n"/>
      <c r="T15" s="364" t="n"/>
      <c r="U15" s="364" t="n"/>
      <c r="V15" s="364" t="n"/>
      <c r="W15" s="364" t="n"/>
      <c r="X15" s="364" t="n"/>
      <c r="Y15" s="364" t="n"/>
      <c r="Z15" s="364" t="n"/>
    </row>
    <row r="16" ht="15" customHeight="1" s="34">
      <c r="A16" s="364" t="n"/>
      <c r="B16" s="364" t="n"/>
      <c r="C16" s="364" t="n"/>
      <c r="D16" s="364" t="n"/>
      <c r="E16" s="364" t="n"/>
      <c r="F16" s="364" t="n"/>
      <c r="G16" s="364" t="n"/>
      <c r="H16" s="364" t="n"/>
      <c r="I16" s="364" t="n"/>
      <c r="J16" s="364" t="n"/>
      <c r="K16" s="364" t="n"/>
      <c r="L16" s="364" t="n"/>
      <c r="M16" s="364" t="n"/>
      <c r="N16" s="364" t="n"/>
      <c r="O16" s="364" t="n"/>
      <c r="P16" s="364" t="n"/>
      <c r="Q16" s="364" t="n"/>
      <c r="R16" s="364" t="n"/>
      <c r="S16" s="364" t="n"/>
      <c r="T16" s="364" t="n"/>
      <c r="U16" s="364" t="n"/>
      <c r="V16" s="364" t="n"/>
      <c r="W16" s="364" t="n"/>
      <c r="X16" s="364" t="n"/>
      <c r="Y16" s="364" t="n"/>
      <c r="Z16" s="364" t="n"/>
    </row>
    <row r="17" ht="15" customHeight="1" s="34">
      <c r="A17" s="364" t="n"/>
      <c r="B17" s="364" t="n"/>
      <c r="C17" s="364" t="n"/>
      <c r="D17" s="364" t="n"/>
      <c r="E17" s="364" t="n"/>
      <c r="F17" s="364" t="n"/>
      <c r="G17" s="364" t="n"/>
      <c r="H17" s="364" t="n"/>
      <c r="I17" s="364" t="n"/>
      <c r="J17" s="364" t="n"/>
      <c r="K17" s="364" t="n"/>
      <c r="L17" s="364" t="n"/>
      <c r="M17" s="364" t="n"/>
      <c r="N17" s="364" t="n"/>
      <c r="O17" s="364" t="n"/>
      <c r="P17" s="364" t="n"/>
      <c r="Q17" s="364" t="n"/>
      <c r="R17" s="364" t="n"/>
      <c r="S17" s="364" t="n"/>
      <c r="T17" s="364" t="n"/>
      <c r="U17" s="364" t="n"/>
      <c r="V17" s="364" t="n"/>
      <c r="W17" s="364" t="n"/>
      <c r="X17" s="364" t="n"/>
      <c r="Y17" s="364" t="n"/>
      <c r="Z17" s="364" t="n"/>
    </row>
    <row r="18" ht="15" customHeight="1" s="34">
      <c r="A18" s="364" t="n"/>
      <c r="B18" s="364" t="n"/>
      <c r="C18" s="364" t="n"/>
      <c r="D18" s="364" t="n"/>
      <c r="E18" s="364" t="n"/>
      <c r="F18" s="364" t="n"/>
      <c r="G18" s="364" t="n"/>
      <c r="H18" s="364" t="n"/>
      <c r="I18" s="364" t="n"/>
      <c r="J18" s="364" t="n"/>
      <c r="K18" s="364" t="n"/>
      <c r="L18" s="364" t="n"/>
      <c r="M18" s="364" t="n"/>
      <c r="N18" s="364" t="n"/>
      <c r="O18" s="364" t="n"/>
      <c r="P18" s="364" t="n"/>
      <c r="Q18" s="364" t="n"/>
      <c r="R18" s="364" t="n"/>
      <c r="S18" s="364" t="n"/>
      <c r="T18" s="364" t="n"/>
      <c r="U18" s="364" t="n"/>
      <c r="V18" s="364" t="n"/>
      <c r="W18" s="364" t="n"/>
      <c r="X18" s="364" t="n"/>
      <c r="Y18" s="364" t="n"/>
      <c r="Z18" s="364" t="n"/>
    </row>
    <row r="19" ht="15" customHeight="1" s="34">
      <c r="A19" s="364" t="n"/>
      <c r="B19" s="364" t="n"/>
      <c r="C19" s="364" t="n"/>
      <c r="D19" s="364" t="n"/>
      <c r="E19" s="364" t="n"/>
      <c r="F19" s="364" t="n"/>
      <c r="G19" s="364" t="n"/>
      <c r="H19" s="364" t="n"/>
      <c r="I19" s="364" t="n"/>
      <c r="J19" s="364" t="n"/>
      <c r="K19" s="364" t="n"/>
      <c r="L19" s="364" t="n"/>
      <c r="M19" s="364" t="n"/>
      <c r="N19" s="364" t="n"/>
      <c r="O19" s="364" t="n"/>
      <c r="P19" s="364" t="n"/>
      <c r="Q19" s="364" t="n"/>
      <c r="R19" s="364" t="n"/>
      <c r="S19" s="364" t="n"/>
      <c r="T19" s="364" t="n"/>
      <c r="U19" s="364" t="n"/>
      <c r="V19" s="364" t="n"/>
      <c r="W19" s="364" t="n"/>
      <c r="X19" s="364" t="n"/>
      <c r="Y19" s="364" t="n"/>
      <c r="Z19" s="364" t="n"/>
    </row>
    <row r="20" ht="15" customHeight="1" s="34">
      <c r="A20" s="364" t="n"/>
      <c r="B20" s="364" t="n"/>
      <c r="C20" s="364" t="n"/>
      <c r="D20" s="364" t="n"/>
      <c r="E20" s="364" t="n"/>
      <c r="F20" s="364" t="n"/>
      <c r="G20" s="364" t="n"/>
      <c r="H20" s="364" t="n"/>
      <c r="I20" s="364" t="n"/>
      <c r="J20" s="364" t="n"/>
      <c r="K20" s="364" t="n"/>
      <c r="L20" s="364" t="n"/>
      <c r="M20" s="364" t="n"/>
      <c r="N20" s="364" t="n"/>
      <c r="O20" s="364" t="n"/>
      <c r="P20" s="364" t="n"/>
      <c r="Q20" s="364" t="n"/>
      <c r="R20" s="364" t="n"/>
      <c r="S20" s="364" t="n"/>
      <c r="T20" s="364" t="n"/>
      <c r="U20" s="364" t="n"/>
      <c r="V20" s="364" t="n"/>
      <c r="W20" s="364" t="n"/>
      <c r="X20" s="364" t="n"/>
      <c r="Y20" s="364" t="n"/>
      <c r="Z20" s="364" t="n"/>
    </row>
    <row r="21" ht="15" customHeight="1" s="34">
      <c r="A21" s="364" t="n"/>
      <c r="B21" s="364" t="n"/>
      <c r="C21" s="364" t="n"/>
      <c r="D21" s="364" t="n"/>
      <c r="E21" s="364" t="n"/>
      <c r="F21" s="364" t="n"/>
      <c r="G21" s="364" t="n"/>
      <c r="H21" s="364" t="n"/>
      <c r="I21" s="364" t="n"/>
      <c r="J21" s="364" t="n"/>
      <c r="K21" s="364" t="n"/>
      <c r="L21" s="364" t="n"/>
      <c r="M21" s="364" t="n"/>
      <c r="N21" s="364" t="n"/>
      <c r="O21" s="364" t="n"/>
      <c r="P21" s="364" t="n"/>
      <c r="Q21" s="364" t="n"/>
      <c r="R21" s="364" t="n"/>
      <c r="S21" s="364" t="n"/>
      <c r="T21" s="364" t="n"/>
      <c r="U21" s="364" t="n"/>
      <c r="V21" s="364" t="n"/>
      <c r="W21" s="364" t="n"/>
      <c r="X21" s="364" t="n"/>
      <c r="Y21" s="364" t="n"/>
      <c r="Z21" s="364" t="n"/>
    </row>
    <row r="22" ht="15" customHeight="1" s="34">
      <c r="A22" s="364" t="n"/>
      <c r="B22" s="364" t="n"/>
      <c r="C22" s="364" t="n"/>
      <c r="D22" s="364" t="n"/>
      <c r="E22" s="364" t="n"/>
      <c r="F22" s="364" t="n"/>
      <c r="G22" s="364" t="n"/>
      <c r="H22" s="364" t="n"/>
      <c r="I22" s="364" t="n"/>
      <c r="J22" s="364" t="n"/>
      <c r="K22" s="364" t="n"/>
      <c r="L22" s="364" t="n"/>
      <c r="M22" s="364" t="n"/>
      <c r="N22" s="364" t="n"/>
      <c r="O22" s="364" t="n"/>
      <c r="P22" s="364" t="n"/>
      <c r="Q22" s="364" t="n"/>
      <c r="R22" s="364" t="n"/>
      <c r="S22" s="364" t="n"/>
      <c r="T22" s="364" t="n"/>
      <c r="U22" s="364" t="n"/>
      <c r="V22" s="364" t="n"/>
      <c r="W22" s="364" t="n"/>
      <c r="X22" s="364" t="n"/>
      <c r="Y22" s="364" t="n"/>
      <c r="Z22" s="364" t="n"/>
    </row>
    <row r="23" ht="15" customHeight="1" s="34">
      <c r="A23" s="364" t="n"/>
      <c r="B23" s="364" t="n"/>
      <c r="C23" s="364" t="n"/>
      <c r="D23" s="364" t="n"/>
      <c r="E23" s="364" t="n"/>
      <c r="F23" s="364" t="n"/>
      <c r="G23" s="364" t="n"/>
      <c r="H23" s="364" t="n"/>
      <c r="I23" s="364" t="n"/>
      <c r="J23" s="364" t="n"/>
      <c r="K23" s="364" t="n"/>
      <c r="L23" s="364" t="n"/>
      <c r="M23" s="364" t="n"/>
      <c r="N23" s="364" t="n"/>
      <c r="O23" s="364" t="n"/>
      <c r="P23" s="364" t="n"/>
      <c r="Q23" s="364" t="n"/>
      <c r="R23" s="364" t="n"/>
      <c r="S23" s="364" t="n"/>
      <c r="T23" s="364" t="n"/>
      <c r="U23" s="364" t="n"/>
      <c r="V23" s="364" t="n"/>
      <c r="W23" s="364" t="n"/>
      <c r="X23" s="364" t="n"/>
      <c r="Y23" s="364" t="n"/>
      <c r="Z23" s="364" t="n"/>
    </row>
    <row r="24" ht="15" customHeight="1" s="34">
      <c r="A24" s="364" t="n"/>
      <c r="B24" s="364" t="n"/>
      <c r="C24" s="364" t="n"/>
      <c r="D24" s="364" t="n"/>
      <c r="E24" s="364" t="n"/>
      <c r="F24" s="364" t="n"/>
      <c r="G24" s="364" t="n"/>
      <c r="H24" s="364" t="n"/>
      <c r="I24" s="364" t="n"/>
      <c r="J24" s="364" t="n"/>
      <c r="K24" s="364" t="n"/>
      <c r="L24" s="364" t="n"/>
      <c r="M24" s="364" t="n"/>
      <c r="N24" s="364" t="n"/>
      <c r="O24" s="364" t="n"/>
      <c r="P24" s="364" t="n"/>
      <c r="Q24" s="364" t="n"/>
      <c r="R24" s="364" t="n"/>
      <c r="S24" s="364" t="n"/>
      <c r="T24" s="364" t="n"/>
      <c r="U24" s="364" t="n"/>
      <c r="V24" s="364" t="n"/>
      <c r="W24" s="364" t="n"/>
      <c r="X24" s="364" t="n"/>
      <c r="Y24" s="364" t="n"/>
      <c r="Z24" s="364" t="n"/>
    </row>
    <row r="25" ht="15" customHeight="1" s="34">
      <c r="A25" s="364" t="n"/>
      <c r="B25" s="364" t="n"/>
      <c r="C25" s="364" t="n"/>
      <c r="D25" s="364" t="n"/>
      <c r="E25" s="364" t="n"/>
      <c r="F25" s="364" t="n"/>
      <c r="G25" s="364" t="n"/>
      <c r="H25" s="364" t="n"/>
      <c r="I25" s="364" t="n"/>
      <c r="J25" s="364" t="n"/>
      <c r="K25" s="364" t="n"/>
      <c r="L25" s="364" t="n"/>
      <c r="M25" s="364" t="n"/>
      <c r="N25" s="364" t="n"/>
      <c r="O25" s="364" t="n"/>
      <c r="P25" s="364" t="n"/>
      <c r="Q25" s="364" t="n"/>
      <c r="R25" s="364" t="n"/>
      <c r="S25" s="364" t="n"/>
      <c r="T25" s="364" t="n"/>
      <c r="U25" s="364" t="n"/>
      <c r="V25" s="364" t="n"/>
      <c r="W25" s="364" t="n"/>
      <c r="X25" s="364" t="n"/>
      <c r="Y25" s="364" t="n"/>
      <c r="Z25" s="364" t="n"/>
    </row>
    <row r="26" ht="15" customHeight="1" s="34">
      <c r="A26" s="364" t="n"/>
      <c r="B26" s="364" t="n"/>
      <c r="C26" s="364" t="n"/>
      <c r="D26" s="364" t="n"/>
      <c r="E26" s="364" t="n"/>
      <c r="F26" s="364" t="n"/>
      <c r="G26" s="364" t="n"/>
      <c r="H26" s="364" t="n"/>
      <c r="I26" s="364" t="n"/>
      <c r="J26" s="364" t="n"/>
      <c r="K26" s="364" t="n"/>
      <c r="L26" s="364" t="n"/>
      <c r="M26" s="364" t="n"/>
      <c r="N26" s="364" t="n"/>
      <c r="O26" s="364" t="n"/>
      <c r="P26" s="364" t="n"/>
      <c r="Q26" s="364" t="n"/>
      <c r="R26" s="364" t="n"/>
      <c r="S26" s="364" t="n"/>
      <c r="T26" s="364" t="n"/>
      <c r="U26" s="364" t="n"/>
      <c r="V26" s="364" t="n"/>
      <c r="W26" s="364" t="n"/>
      <c r="X26" s="364" t="n"/>
      <c r="Y26" s="364" t="n"/>
      <c r="Z26" s="364" t="n"/>
    </row>
    <row r="27" ht="15" customHeight="1" s="34">
      <c r="A27" s="364" t="n"/>
      <c r="B27" s="364" t="n"/>
      <c r="C27" s="364" t="n"/>
      <c r="D27" s="364" t="n"/>
      <c r="E27" s="364" t="n"/>
      <c r="F27" s="364" t="n"/>
      <c r="G27" s="364" t="n"/>
      <c r="H27" s="364" t="n"/>
      <c r="I27" s="364" t="n"/>
      <c r="J27" s="364" t="n"/>
      <c r="K27" s="364" t="n"/>
      <c r="L27" s="364" t="n"/>
      <c r="M27" s="364" t="n"/>
      <c r="N27" s="364" t="n"/>
      <c r="O27" s="364" t="n"/>
      <c r="P27" s="364" t="n"/>
      <c r="Q27" s="364" t="n"/>
      <c r="R27" s="364" t="n"/>
      <c r="S27" s="364" t="n"/>
      <c r="T27" s="364" t="n"/>
      <c r="U27" s="364" t="n"/>
      <c r="V27" s="364" t="n"/>
      <c r="W27" s="364" t="n"/>
      <c r="X27" s="364" t="n"/>
      <c r="Y27" s="364" t="n"/>
      <c r="Z27" s="364" t="n"/>
    </row>
    <row r="28" ht="15" customHeight="1" s="34">
      <c r="A28" s="364" t="n"/>
      <c r="B28" s="364" t="n"/>
      <c r="C28" s="364" t="n"/>
      <c r="D28" s="364" t="n"/>
      <c r="E28" s="364" t="n"/>
      <c r="F28" s="364" t="n"/>
      <c r="G28" s="364" t="n"/>
      <c r="H28" s="364" t="n"/>
      <c r="I28" s="364" t="n"/>
      <c r="J28" s="364" t="n"/>
      <c r="K28" s="364" t="n"/>
      <c r="L28" s="364" t="n"/>
      <c r="M28" s="364" t="n"/>
      <c r="N28" s="364" t="n"/>
      <c r="O28" s="364" t="n"/>
      <c r="P28" s="364" t="n"/>
      <c r="Q28" s="364" t="n"/>
      <c r="R28" s="364" t="n"/>
      <c r="S28" s="364" t="n"/>
      <c r="T28" s="364" t="n"/>
      <c r="U28" s="364" t="n"/>
      <c r="V28" s="364" t="n"/>
      <c r="W28" s="364" t="n"/>
      <c r="X28" s="364" t="n"/>
      <c r="Y28" s="364" t="n"/>
      <c r="Z28" s="364" t="n"/>
    </row>
    <row r="29" ht="15" customHeight="1" s="34">
      <c r="A29" s="364" t="n"/>
      <c r="B29" s="364" t="n"/>
      <c r="C29" s="364" t="n"/>
      <c r="D29" s="364" t="n"/>
      <c r="E29" s="364" t="n"/>
      <c r="F29" s="364" t="n"/>
      <c r="G29" s="364" t="n"/>
      <c r="H29" s="364" t="n"/>
      <c r="I29" s="364" t="n"/>
      <c r="J29" s="364" t="n"/>
      <c r="K29" s="364" t="n"/>
      <c r="L29" s="364" t="n"/>
      <c r="M29" s="364" t="n"/>
      <c r="N29" s="364" t="n"/>
      <c r="O29" s="364" t="n"/>
      <c r="P29" s="364" t="n"/>
      <c r="Q29" s="364" t="n"/>
      <c r="R29" s="364" t="n"/>
      <c r="S29" s="364" t="n"/>
      <c r="T29" s="364" t="n"/>
      <c r="U29" s="364" t="n"/>
      <c r="V29" s="364" t="n"/>
      <c r="W29" s="364" t="n"/>
      <c r="X29" s="364" t="n"/>
      <c r="Y29" s="364" t="n"/>
      <c r="Z29" s="364" t="n"/>
    </row>
    <row r="30" ht="15" customHeight="1" s="34">
      <c r="A30" s="364" t="n"/>
      <c r="B30" s="364" t="n"/>
      <c r="C30" s="364" t="n"/>
      <c r="D30" s="364" t="n"/>
      <c r="E30" s="364" t="n"/>
      <c r="F30" s="364" t="n"/>
      <c r="G30" s="364" t="n"/>
      <c r="H30" s="364" t="n"/>
      <c r="I30" s="364" t="n"/>
      <c r="J30" s="364" t="n"/>
      <c r="K30" s="364" t="n"/>
      <c r="L30" s="364" t="n"/>
      <c r="M30" s="364" t="n"/>
      <c r="N30" s="364" t="n"/>
      <c r="O30" s="364" t="n"/>
      <c r="P30" s="364" t="n"/>
      <c r="Q30" s="364" t="n"/>
      <c r="R30" s="364" t="n"/>
      <c r="S30" s="364" t="n"/>
      <c r="T30" s="364" t="n"/>
      <c r="U30" s="364" t="n"/>
      <c r="V30" s="364" t="n"/>
      <c r="W30" s="364" t="n"/>
      <c r="X30" s="364" t="n"/>
      <c r="Y30" s="364" t="n"/>
      <c r="Z30" s="364" t="n"/>
    </row>
    <row r="31" ht="15" customHeight="1" s="34">
      <c r="A31" s="364" t="n"/>
      <c r="B31" s="364" t="n"/>
      <c r="C31" s="364" t="n"/>
      <c r="D31" s="364" t="n"/>
      <c r="E31" s="364" t="n"/>
      <c r="F31" s="364" t="n"/>
      <c r="G31" s="364" t="n"/>
      <c r="H31" s="364" t="n"/>
      <c r="I31" s="364" t="n"/>
      <c r="J31" s="364" t="n"/>
      <c r="K31" s="364" t="n"/>
      <c r="L31" s="364" t="n"/>
      <c r="M31" s="364" t="n"/>
      <c r="N31" s="364" t="n"/>
      <c r="O31" s="364" t="n"/>
      <c r="P31" s="364" t="n"/>
      <c r="Q31" s="364" t="n"/>
      <c r="R31" s="364" t="n"/>
      <c r="S31" s="364" t="n"/>
      <c r="T31" s="364" t="n"/>
      <c r="U31" s="364" t="n"/>
      <c r="V31" s="364" t="n"/>
      <c r="W31" s="364" t="n"/>
      <c r="X31" s="364" t="n"/>
      <c r="Y31" s="364" t="n"/>
      <c r="Z31" s="364" t="n"/>
    </row>
    <row r="32" ht="15" customHeight="1" s="34">
      <c r="A32" s="364" t="n"/>
      <c r="B32" s="364" t="n"/>
      <c r="C32" s="364" t="n"/>
      <c r="D32" s="364" t="n"/>
      <c r="E32" s="364" t="n"/>
      <c r="F32" s="364" t="n"/>
      <c r="G32" s="364" t="n"/>
      <c r="H32" s="364" t="n"/>
      <c r="I32" s="364" t="n"/>
      <c r="J32" s="364" t="n"/>
      <c r="K32" s="364" t="n"/>
      <c r="L32" s="364" t="n"/>
      <c r="M32" s="364" t="n"/>
      <c r="N32" s="364" t="n"/>
      <c r="O32" s="364" t="n"/>
      <c r="P32" s="364" t="n"/>
      <c r="Q32" s="364" t="n"/>
      <c r="R32" s="364" t="n"/>
      <c r="S32" s="364" t="n"/>
      <c r="T32" s="364" t="n"/>
      <c r="U32" s="364" t="n"/>
      <c r="V32" s="364" t="n"/>
      <c r="W32" s="364" t="n"/>
      <c r="X32" s="364" t="n"/>
      <c r="Y32" s="364" t="n"/>
      <c r="Z32" s="364" t="n"/>
    </row>
    <row r="33" ht="15" customHeight="1" s="34">
      <c r="A33" s="364" t="n"/>
      <c r="B33" s="364" t="n"/>
      <c r="C33" s="364" t="n"/>
      <c r="D33" s="364" t="n"/>
      <c r="E33" s="364" t="n"/>
      <c r="F33" s="364" t="n"/>
      <c r="G33" s="364" t="n"/>
      <c r="H33" s="364" t="n"/>
      <c r="I33" s="364" t="n"/>
      <c r="J33" s="364" t="n"/>
      <c r="K33" s="364" t="n"/>
      <c r="L33" s="364" t="n"/>
      <c r="M33" s="364" t="n"/>
      <c r="N33" s="364" t="n"/>
      <c r="O33" s="364" t="n"/>
      <c r="P33" s="364" t="n"/>
      <c r="Q33" s="364" t="n"/>
      <c r="R33" s="364" t="n"/>
      <c r="S33" s="364" t="n"/>
      <c r="T33" s="364" t="n"/>
      <c r="U33" s="364" t="n"/>
      <c r="V33" s="364" t="n"/>
      <c r="W33" s="364" t="n"/>
      <c r="X33" s="364" t="n"/>
      <c r="Y33" s="364" t="n"/>
      <c r="Z33" s="364" t="n"/>
    </row>
    <row r="34" ht="15" customHeight="1" s="34">
      <c r="A34" s="364" t="n"/>
      <c r="B34" s="364" t="n"/>
      <c r="C34" s="364" t="n"/>
      <c r="D34" s="364" t="n"/>
      <c r="E34" s="364" t="n"/>
      <c r="F34" s="364" t="n"/>
      <c r="G34" s="364" t="n"/>
      <c r="H34" s="364" t="n"/>
      <c r="I34" s="364" t="n"/>
      <c r="J34" s="364" t="n"/>
      <c r="K34" s="364" t="n"/>
      <c r="L34" s="364" t="n"/>
      <c r="M34" s="364" t="n"/>
      <c r="N34" s="364" t="n"/>
      <c r="O34" s="364" t="n"/>
      <c r="P34" s="364" t="n"/>
      <c r="Q34" s="364" t="n"/>
      <c r="R34" s="364" t="n"/>
      <c r="S34" s="364" t="n"/>
      <c r="T34" s="364" t="n"/>
      <c r="U34" s="364" t="n"/>
      <c r="V34" s="364" t="n"/>
      <c r="W34" s="364" t="n"/>
      <c r="X34" s="364" t="n"/>
      <c r="Y34" s="364" t="n"/>
      <c r="Z34" s="364" t="n"/>
    </row>
    <row r="35" ht="15" customHeight="1" s="34">
      <c r="A35" s="364" t="n"/>
      <c r="B35" s="364" t="n"/>
      <c r="C35" s="364" t="n"/>
      <c r="D35" s="364" t="n"/>
      <c r="E35" s="364" t="n"/>
      <c r="F35" s="364" t="n"/>
      <c r="G35" s="364" t="n"/>
      <c r="H35" s="364" t="n"/>
      <c r="I35" s="364" t="n"/>
      <c r="J35" s="364" t="n"/>
      <c r="K35" s="364" t="n"/>
      <c r="L35" s="364" t="n"/>
      <c r="M35" s="364" t="n"/>
      <c r="N35" s="364" t="n"/>
      <c r="O35" s="364" t="n"/>
      <c r="P35" s="364" t="n"/>
      <c r="Q35" s="364" t="n"/>
      <c r="R35" s="364" t="n"/>
      <c r="S35" s="364" t="n"/>
      <c r="T35" s="364" t="n"/>
      <c r="U35" s="364" t="n"/>
      <c r="V35" s="364" t="n"/>
      <c r="W35" s="364" t="n"/>
      <c r="X35" s="364" t="n"/>
      <c r="Y35" s="364" t="n"/>
      <c r="Z35" s="364" t="n"/>
    </row>
    <row r="36" ht="15" customHeight="1" s="34">
      <c r="A36" s="364" t="n"/>
      <c r="B36" s="364" t="n"/>
      <c r="C36" s="364" t="n"/>
      <c r="D36" s="364" t="n"/>
      <c r="E36" s="364" t="n"/>
      <c r="F36" s="364" t="n"/>
      <c r="G36" s="364" t="n"/>
      <c r="H36" s="364" t="n"/>
      <c r="I36" s="364" t="n"/>
      <c r="J36" s="364" t="n"/>
      <c r="K36" s="364" t="n"/>
      <c r="L36" s="364" t="n"/>
      <c r="M36" s="364" t="n"/>
      <c r="N36" s="364" t="n"/>
      <c r="O36" s="364" t="n"/>
      <c r="P36" s="364" t="n"/>
      <c r="Q36" s="364" t="n"/>
      <c r="R36" s="364" t="n"/>
      <c r="S36" s="364" t="n"/>
      <c r="T36" s="364" t="n"/>
      <c r="U36" s="364" t="n"/>
      <c r="V36" s="364" t="n"/>
      <c r="W36" s="364" t="n"/>
      <c r="X36" s="364" t="n"/>
      <c r="Y36" s="364" t="n"/>
      <c r="Z36" s="364" t="n"/>
    </row>
    <row r="37" ht="15" customHeight="1" s="34">
      <c r="A37" s="364" t="n"/>
      <c r="B37" s="364" t="n"/>
      <c r="C37" s="364" t="n"/>
      <c r="D37" s="364" t="n"/>
      <c r="E37" s="364" t="n"/>
      <c r="F37" s="364" t="n"/>
      <c r="G37" s="364" t="n"/>
      <c r="H37" s="364" t="n"/>
      <c r="I37" s="364" t="n"/>
      <c r="J37" s="364" t="n"/>
      <c r="K37" s="364" t="n"/>
      <c r="L37" s="364" t="n"/>
      <c r="M37" s="364" t="n"/>
      <c r="N37" s="364" t="n"/>
      <c r="O37" s="364" t="n"/>
      <c r="P37" s="364" t="n"/>
      <c r="Q37" s="364" t="n"/>
      <c r="R37" s="364" t="n"/>
      <c r="S37" s="364" t="n"/>
      <c r="T37" s="364" t="n"/>
      <c r="U37" s="364" t="n"/>
      <c r="V37" s="364" t="n"/>
      <c r="W37" s="364" t="n"/>
      <c r="X37" s="364" t="n"/>
      <c r="Y37" s="364" t="n"/>
      <c r="Z37" s="364" t="n"/>
    </row>
    <row r="38" ht="15" customHeight="1" s="34">
      <c r="A38" s="364" t="n"/>
      <c r="B38" s="364" t="n"/>
      <c r="C38" s="364" t="n"/>
      <c r="D38" s="364" t="n"/>
      <c r="E38" s="364" t="n"/>
      <c r="F38" s="364" t="n"/>
      <c r="G38" s="364" t="n"/>
      <c r="H38" s="364" t="n"/>
      <c r="I38" s="364" t="n"/>
      <c r="J38" s="364" t="n"/>
      <c r="K38" s="364" t="n"/>
      <c r="L38" s="364" t="n"/>
      <c r="M38" s="364" t="n"/>
      <c r="N38" s="364" t="n"/>
      <c r="O38" s="364" t="n"/>
      <c r="P38" s="364" t="n"/>
      <c r="Q38" s="364" t="n"/>
      <c r="R38" s="364" t="n"/>
      <c r="S38" s="364" t="n"/>
      <c r="T38" s="364" t="n"/>
      <c r="U38" s="364" t="n"/>
      <c r="V38" s="364" t="n"/>
      <c r="W38" s="364" t="n"/>
      <c r="X38" s="364" t="n"/>
      <c r="Y38" s="364" t="n"/>
      <c r="Z38" s="364" t="n"/>
    </row>
    <row r="39" ht="15" customHeight="1" s="34">
      <c r="A39" s="364" t="n"/>
      <c r="B39" s="364" t="n"/>
      <c r="C39" s="364" t="n"/>
      <c r="D39" s="364" t="n"/>
      <c r="E39" s="364" t="n"/>
      <c r="F39" s="364" t="n"/>
      <c r="G39" s="364" t="n"/>
      <c r="H39" s="364" t="n"/>
      <c r="I39" s="364" t="n"/>
      <c r="J39" s="364" t="n"/>
      <c r="K39" s="364" t="n"/>
      <c r="L39" s="364" t="n"/>
      <c r="M39" s="364" t="n"/>
      <c r="N39" s="364" t="n"/>
      <c r="O39" s="364" t="n"/>
      <c r="P39" s="364" t="n"/>
      <c r="Q39" s="364" t="n"/>
      <c r="R39" s="364" t="n"/>
      <c r="S39" s="364" t="n"/>
      <c r="T39" s="364" t="n"/>
      <c r="U39" s="364" t="n"/>
      <c r="V39" s="364" t="n"/>
      <c r="W39" s="364" t="n"/>
      <c r="X39" s="364" t="n"/>
      <c r="Y39" s="364" t="n"/>
      <c r="Z39" s="364" t="n"/>
    </row>
    <row r="40" ht="15" customHeight="1" s="34">
      <c r="A40" s="364" t="n"/>
      <c r="B40" s="364" t="n"/>
      <c r="C40" s="364" t="n"/>
      <c r="D40" s="364" t="n"/>
      <c r="E40" s="364" t="n"/>
      <c r="F40" s="364" t="n"/>
      <c r="G40" s="364" t="n"/>
      <c r="H40" s="364" t="n"/>
      <c r="I40" s="364" t="n"/>
      <c r="J40" s="364" t="n"/>
      <c r="K40" s="364" t="n"/>
      <c r="L40" s="364" t="n"/>
      <c r="M40" s="364" t="n"/>
      <c r="N40" s="364" t="n"/>
      <c r="O40" s="364" t="n"/>
      <c r="P40" s="364" t="n"/>
      <c r="Q40" s="364" t="n"/>
      <c r="R40" s="364" t="n"/>
      <c r="S40" s="364" t="n"/>
      <c r="T40" s="364" t="n"/>
      <c r="U40" s="364" t="n"/>
      <c r="V40" s="364" t="n"/>
      <c r="W40" s="364" t="n"/>
      <c r="X40" s="364" t="n"/>
      <c r="Y40" s="364" t="n"/>
      <c r="Z40" s="364" t="n"/>
    </row>
    <row r="41">
      <c r="A41" s="364" t="n"/>
      <c r="B41" s="364" t="n"/>
      <c r="C41" s="364" t="n"/>
      <c r="D41" s="364" t="n"/>
      <c r="E41" s="364" t="n"/>
      <c r="F41" s="364" t="n"/>
      <c r="G41" s="364" t="n"/>
      <c r="H41" s="364" t="n"/>
      <c r="I41" s="364" t="n"/>
      <c r="J41" s="364" t="n"/>
      <c r="K41" s="364" t="n"/>
      <c r="L41" s="364" t="n"/>
      <c r="M41" s="364" t="n"/>
      <c r="N41" s="364" t="n"/>
      <c r="O41" s="364" t="n"/>
      <c r="P41" s="364" t="n"/>
      <c r="Q41" s="364" t="n"/>
      <c r="R41" s="364" t="n"/>
      <c r="S41" s="364" t="n"/>
      <c r="T41" s="364" t="n"/>
      <c r="U41" s="364" t="n"/>
      <c r="V41" s="364" t="n"/>
      <c r="W41" s="364" t="n"/>
      <c r="X41" s="364" t="n"/>
      <c r="Y41" s="364" t="n"/>
      <c r="Z41" s="364" t="n"/>
    </row>
    <row r="42">
      <c r="A42" s="364" t="n"/>
      <c r="B42" s="364" t="n"/>
      <c r="C42" s="364" t="n"/>
      <c r="D42" s="364" t="n"/>
      <c r="E42" s="364" t="n"/>
      <c r="F42" s="364" t="n"/>
      <c r="G42" s="364" t="n"/>
      <c r="H42" s="364" t="n"/>
      <c r="I42" s="364" t="n"/>
      <c r="J42" s="364" t="n"/>
      <c r="K42" s="364" t="n"/>
      <c r="L42" s="364" t="n"/>
      <c r="M42" s="364" t="n"/>
      <c r="N42" s="364" t="n"/>
      <c r="O42" s="364" t="n"/>
      <c r="P42" s="364" t="n"/>
      <c r="Q42" s="364" t="n"/>
      <c r="R42" s="364" t="n"/>
      <c r="S42" s="364" t="n"/>
      <c r="T42" s="364" t="n"/>
      <c r="U42" s="364" t="n"/>
      <c r="V42" s="364" t="n"/>
      <c r="W42" s="364" t="n"/>
      <c r="X42" s="364" t="n"/>
      <c r="Y42" s="364" t="n"/>
      <c r="Z42" s="364" t="n"/>
    </row>
    <row r="43">
      <c r="A43" s="364" t="n"/>
      <c r="B43" s="364" t="n"/>
      <c r="C43" s="364" t="n"/>
      <c r="D43" s="364" t="n"/>
      <c r="E43" s="364" t="n"/>
      <c r="F43" s="364" t="n"/>
      <c r="G43" s="364" t="n"/>
      <c r="H43" s="364" t="n"/>
      <c r="I43" s="364" t="n"/>
      <c r="J43" s="364" t="n"/>
      <c r="K43" s="364" t="n"/>
      <c r="L43" s="364" t="n"/>
      <c r="M43" s="364" t="n"/>
      <c r="N43" s="364" t="n"/>
      <c r="O43" s="364" t="n"/>
      <c r="P43" s="364" t="n"/>
      <c r="Q43" s="364" t="n"/>
      <c r="R43" s="364" t="n"/>
      <c r="S43" s="364" t="n"/>
      <c r="T43" s="364" t="n"/>
      <c r="U43" s="364" t="n"/>
      <c r="V43" s="364" t="n"/>
      <c r="W43" s="364" t="n"/>
      <c r="X43" s="364" t="n"/>
      <c r="Y43" s="364" t="n"/>
      <c r="Z43" s="364" t="n"/>
    </row>
    <row r="44">
      <c r="A44" s="364" t="n"/>
      <c r="B44" s="364" t="n"/>
      <c r="C44" s="364" t="n"/>
      <c r="D44" s="364" t="n"/>
      <c r="E44" s="364" t="n"/>
      <c r="F44" s="364" t="n"/>
      <c r="G44" s="364" t="n"/>
      <c r="H44" s="364" t="n"/>
      <c r="I44" s="364" t="n"/>
      <c r="J44" s="364" t="n"/>
      <c r="K44" s="364" t="n"/>
      <c r="L44" s="364" t="n"/>
      <c r="M44" s="364" t="n"/>
      <c r="N44" s="364" t="n"/>
      <c r="O44" s="364" t="n"/>
      <c r="P44" s="364" t="n"/>
      <c r="Q44" s="364" t="n"/>
      <c r="R44" s="364" t="n"/>
      <c r="S44" s="364" t="n"/>
      <c r="T44" s="364" t="n"/>
      <c r="U44" s="364" t="n"/>
      <c r="V44" s="364" t="n"/>
      <c r="W44" s="364" t="n"/>
      <c r="X44" s="364" t="n"/>
      <c r="Y44" s="364" t="n"/>
      <c r="Z44" s="364" t="n"/>
    </row>
    <row r="45">
      <c r="A45" s="364" t="n"/>
      <c r="B45" s="364" t="n"/>
      <c r="C45" s="364" t="n"/>
      <c r="D45" s="364" t="n"/>
      <c r="E45" s="364" t="n"/>
      <c r="F45" s="364" t="n"/>
      <c r="G45" s="364" t="n"/>
      <c r="H45" s="364" t="n"/>
      <c r="I45" s="364" t="n"/>
      <c r="J45" s="364" t="n"/>
      <c r="K45" s="364" t="n"/>
      <c r="L45" s="364" t="n"/>
      <c r="M45" s="364" t="n"/>
      <c r="N45" s="364" t="n"/>
      <c r="O45" s="364" t="n"/>
      <c r="P45" s="364" t="n"/>
      <c r="Q45" s="364" t="n"/>
      <c r="R45" s="364" t="n"/>
      <c r="S45" s="364" t="n"/>
      <c r="T45" s="364" t="n"/>
      <c r="U45" s="364" t="n"/>
      <c r="V45" s="364" t="n"/>
      <c r="W45" s="364" t="n"/>
      <c r="X45" s="364" t="n"/>
      <c r="Y45" s="364" t="n"/>
      <c r="Z45" s="364" t="n"/>
    </row>
    <row r="46">
      <c r="A46" s="364" t="n"/>
      <c r="B46" s="364" t="n"/>
      <c r="C46" s="364" t="n"/>
      <c r="D46" s="364" t="n"/>
      <c r="E46" s="364" t="n"/>
      <c r="F46" s="364" t="n"/>
      <c r="G46" s="364" t="n"/>
      <c r="H46" s="364" t="n"/>
      <c r="I46" s="364" t="n"/>
      <c r="J46" s="364" t="n"/>
      <c r="K46" s="364" t="n"/>
      <c r="L46" s="364" t="n"/>
      <c r="M46" s="364" t="n"/>
      <c r="N46" s="364" t="n"/>
      <c r="O46" s="364" t="n"/>
      <c r="P46" s="364" t="n"/>
      <c r="Q46" s="364" t="n"/>
      <c r="R46" s="364" t="n"/>
      <c r="S46" s="364" t="n"/>
      <c r="T46" s="364" t="n"/>
      <c r="U46" s="364" t="n"/>
      <c r="V46" s="364" t="n"/>
      <c r="W46" s="364" t="n"/>
      <c r="X46" s="364" t="n"/>
      <c r="Y46" s="364" t="n"/>
      <c r="Z46" s="364" t="n"/>
    </row>
    <row r="47">
      <c r="A47" s="364" t="n"/>
      <c r="B47" s="364" t="n"/>
      <c r="C47" s="364" t="n"/>
      <c r="D47" s="364" t="n"/>
      <c r="E47" s="364" t="n"/>
      <c r="F47" s="364" t="n"/>
      <c r="G47" s="364" t="n"/>
      <c r="H47" s="364" t="n"/>
      <c r="I47" s="364" t="n"/>
      <c r="J47" s="364" t="n"/>
      <c r="K47" s="364" t="n"/>
      <c r="L47" s="364" t="n"/>
      <c r="M47" s="364" t="n"/>
      <c r="N47" s="364" t="n"/>
      <c r="O47" s="364" t="n"/>
      <c r="P47" s="364" t="n"/>
      <c r="Q47" s="364" t="n"/>
      <c r="R47" s="364" t="n"/>
      <c r="S47" s="364" t="n"/>
      <c r="T47" s="364" t="n"/>
      <c r="U47" s="364" t="n"/>
      <c r="V47" s="364" t="n"/>
      <c r="W47" s="364" t="n"/>
      <c r="X47" s="364" t="n"/>
      <c r="Y47" s="364" t="n"/>
      <c r="Z47" s="364" t="n"/>
    </row>
    <row r="48">
      <c r="A48" s="364" t="n"/>
      <c r="B48" s="364" t="n"/>
      <c r="C48" s="364" t="n"/>
      <c r="D48" s="364" t="n"/>
      <c r="E48" s="364" t="n"/>
      <c r="F48" s="364" t="n"/>
      <c r="G48" s="364" t="n"/>
      <c r="H48" s="364" t="n"/>
      <c r="I48" s="364" t="n"/>
      <c r="J48" s="364" t="n"/>
      <c r="K48" s="364" t="n"/>
      <c r="L48" s="364" t="n"/>
      <c r="M48" s="364" t="n"/>
      <c r="N48" s="364" t="n"/>
      <c r="O48" s="364" t="n"/>
      <c r="P48" s="364" t="n"/>
      <c r="Q48" s="364" t="n"/>
      <c r="R48" s="364" t="n"/>
      <c r="S48" s="364" t="n"/>
      <c r="T48" s="364" t="n"/>
      <c r="U48" s="364" t="n"/>
      <c r="V48" s="364" t="n"/>
      <c r="W48" s="364" t="n"/>
      <c r="X48" s="364" t="n"/>
      <c r="Y48" s="364" t="n"/>
      <c r="Z48" s="364" t="n"/>
    </row>
    <row r="49">
      <c r="A49" s="364" t="n"/>
      <c r="B49" s="364" t="n"/>
      <c r="C49" s="364" t="n"/>
      <c r="D49" s="364" t="n"/>
      <c r="E49" s="364" t="n"/>
      <c r="F49" s="364" t="n"/>
      <c r="G49" s="364" t="n"/>
      <c r="H49" s="364" t="n"/>
      <c r="I49" s="364" t="n"/>
      <c r="J49" s="364" t="n"/>
      <c r="K49" s="364" t="n"/>
      <c r="L49" s="364" t="n"/>
      <c r="M49" s="364" t="n"/>
      <c r="N49" s="364" t="n"/>
      <c r="O49" s="364" t="n"/>
      <c r="P49" s="364" t="n"/>
      <c r="Q49" s="364" t="n"/>
      <c r="R49" s="364" t="n"/>
      <c r="S49" s="364" t="n"/>
      <c r="T49" s="364" t="n"/>
      <c r="U49" s="364" t="n"/>
      <c r="V49" s="364" t="n"/>
      <c r="W49" s="364" t="n"/>
      <c r="X49" s="364" t="n"/>
      <c r="Y49" s="364" t="n"/>
      <c r="Z49" s="364" t="n"/>
    </row>
    <row r="50">
      <c r="A50" s="364" t="n"/>
      <c r="B50" s="364" t="n"/>
      <c r="C50" s="364" t="n"/>
      <c r="D50" s="364" t="n"/>
      <c r="E50" s="364" t="n"/>
      <c r="F50" s="364" t="n"/>
      <c r="G50" s="364" t="n"/>
      <c r="H50" s="364" t="n"/>
      <c r="I50" s="364" t="n"/>
      <c r="J50" s="364" t="n"/>
      <c r="K50" s="364" t="n"/>
      <c r="L50" s="364" t="n"/>
      <c r="M50" s="364" t="n"/>
      <c r="N50" s="364" t="n"/>
      <c r="O50" s="364" t="n"/>
      <c r="P50" s="364" t="n"/>
      <c r="Q50" s="364" t="n"/>
      <c r="R50" s="364" t="n"/>
      <c r="S50" s="364" t="n"/>
      <c r="T50" s="364" t="n"/>
      <c r="U50" s="364" t="n"/>
      <c r="V50" s="364" t="n"/>
      <c r="W50" s="364" t="n"/>
      <c r="X50" s="364" t="n"/>
      <c r="Y50" s="364" t="n"/>
      <c r="Z50" s="364" t="n"/>
    </row>
    <row r="51">
      <c r="A51" s="364" t="n"/>
      <c r="B51" s="364" t="n"/>
      <c r="C51" s="364" t="n"/>
      <c r="D51" s="364" t="n"/>
      <c r="E51" s="364" t="n"/>
      <c r="F51" s="364" t="n"/>
      <c r="G51" s="364" t="n"/>
      <c r="H51" s="364" t="n"/>
      <c r="I51" s="364" t="n"/>
      <c r="J51" s="364" t="n"/>
      <c r="K51" s="364" t="n"/>
      <c r="L51" s="364" t="n"/>
      <c r="M51" s="364" t="n"/>
      <c r="N51" s="364" t="n"/>
      <c r="O51" s="364" t="n"/>
      <c r="P51" s="364" t="n"/>
      <c r="Q51" s="364" t="n"/>
      <c r="R51" s="364" t="n"/>
      <c r="S51" s="364" t="n"/>
      <c r="T51" s="364" t="n"/>
      <c r="U51" s="364" t="n"/>
      <c r="V51" s="364" t="n"/>
      <c r="W51" s="364" t="n"/>
      <c r="X51" s="364" t="n"/>
      <c r="Y51" s="364" t="n"/>
      <c r="Z51" s="364" t="n"/>
    </row>
    <row r="52">
      <c r="A52" s="364" t="n"/>
      <c r="B52" s="364" t="n"/>
      <c r="C52" s="364" t="n"/>
      <c r="D52" s="364" t="n"/>
      <c r="E52" s="364" t="n"/>
      <c r="F52" s="364" t="n"/>
      <c r="G52" s="364" t="n"/>
      <c r="H52" s="364" t="n"/>
      <c r="I52" s="364" t="n"/>
      <c r="J52" s="364" t="n"/>
      <c r="K52" s="364" t="n"/>
      <c r="L52" s="364" t="n"/>
      <c r="M52" s="364" t="n"/>
      <c r="N52" s="364" t="n"/>
      <c r="O52" s="364" t="n"/>
      <c r="P52" s="364" t="n"/>
      <c r="Q52" s="364" t="n"/>
      <c r="R52" s="364" t="n"/>
      <c r="S52" s="364" t="n"/>
      <c r="T52" s="364" t="n"/>
      <c r="U52" s="364" t="n"/>
      <c r="V52" s="364" t="n"/>
      <c r="W52" s="364" t="n"/>
      <c r="X52" s="364" t="n"/>
      <c r="Y52" s="364" t="n"/>
      <c r="Z52" s="364" t="n"/>
    </row>
    <row r="53">
      <c r="A53" s="364" t="n"/>
      <c r="B53" s="364" t="n"/>
      <c r="C53" s="364" t="n"/>
      <c r="D53" s="364" t="n"/>
      <c r="E53" s="364" t="n"/>
      <c r="F53" s="364" t="n"/>
      <c r="G53" s="364" t="n"/>
      <c r="H53" s="364" t="n"/>
      <c r="I53" s="364" t="n"/>
      <c r="J53" s="364" t="n"/>
      <c r="K53" s="364" t="n"/>
      <c r="L53" s="364" t="n"/>
      <c r="M53" s="364" t="n"/>
      <c r="N53" s="364" t="n"/>
      <c r="O53" s="364" t="n"/>
      <c r="P53" s="364" t="n"/>
      <c r="Q53" s="364" t="n"/>
      <c r="R53" s="364" t="n"/>
      <c r="S53" s="364" t="n"/>
      <c r="T53" s="364" t="n"/>
      <c r="U53" s="364" t="n"/>
      <c r="V53" s="364" t="n"/>
      <c r="W53" s="364" t="n"/>
      <c r="X53" s="364" t="n"/>
      <c r="Y53" s="364" t="n"/>
      <c r="Z53" s="364" t="n"/>
    </row>
    <row r="54">
      <c r="A54" s="364" t="n"/>
      <c r="B54" s="364" t="n"/>
      <c r="C54" s="364" t="n"/>
      <c r="D54" s="364" t="n"/>
      <c r="E54" s="364" t="n"/>
      <c r="F54" s="364" t="n"/>
      <c r="G54" s="364" t="n"/>
      <c r="H54" s="364" t="n"/>
      <c r="I54" s="364" t="n"/>
      <c r="J54" s="364" t="n"/>
      <c r="K54" s="364" t="n"/>
      <c r="L54" s="364" t="n"/>
      <c r="M54" s="364" t="n"/>
      <c r="N54" s="364" t="n"/>
      <c r="O54" s="364" t="n"/>
      <c r="P54" s="364" t="n"/>
      <c r="Q54" s="364" t="n"/>
      <c r="R54" s="364" t="n"/>
      <c r="S54" s="364" t="n"/>
      <c r="T54" s="364" t="n"/>
      <c r="U54" s="364" t="n"/>
      <c r="V54" s="364" t="n"/>
      <c r="W54" s="364" t="n"/>
      <c r="X54" s="364" t="n"/>
      <c r="Y54" s="364" t="n"/>
      <c r="Z54" s="364" t="n"/>
    </row>
    <row r="55">
      <c r="A55" s="364" t="n"/>
      <c r="B55" s="364" t="n"/>
      <c r="C55" s="364" t="n"/>
      <c r="D55" s="364" t="n"/>
      <c r="E55" s="364" t="n"/>
      <c r="F55" s="364" t="n"/>
      <c r="G55" s="364" t="n"/>
      <c r="H55" s="364" t="n"/>
      <c r="I55" s="364" t="n"/>
      <c r="J55" s="364" t="n"/>
      <c r="K55" s="364" t="n"/>
      <c r="L55" s="364" t="n"/>
      <c r="M55" s="364" t="n"/>
      <c r="N55" s="364" t="n"/>
      <c r="O55" s="364" t="n"/>
      <c r="P55" s="364" t="n"/>
      <c r="Q55" s="364" t="n"/>
      <c r="R55" s="364" t="n"/>
      <c r="S55" s="364" t="n"/>
      <c r="T55" s="364" t="n"/>
      <c r="U55" s="364" t="n"/>
      <c r="V55" s="364" t="n"/>
      <c r="W55" s="364" t="n"/>
      <c r="X55" s="364" t="n"/>
      <c r="Y55" s="364" t="n"/>
      <c r="Z55" s="364" t="n"/>
    </row>
    <row r="56">
      <c r="A56" s="364" t="n"/>
      <c r="B56" s="364" t="n"/>
      <c r="C56" s="364" t="n"/>
      <c r="D56" s="364" t="n"/>
      <c r="E56" s="364" t="n"/>
      <c r="F56" s="364" t="n"/>
      <c r="G56" s="364" t="n"/>
      <c r="H56" s="364" t="n"/>
      <c r="I56" s="364" t="n"/>
      <c r="J56" s="364" t="n"/>
      <c r="K56" s="364" t="n"/>
      <c r="L56" s="364" t="n"/>
      <c r="M56" s="364" t="n"/>
      <c r="N56" s="364" t="n"/>
      <c r="O56" s="364" t="n"/>
      <c r="P56" s="364" t="n"/>
      <c r="Q56" s="364" t="n"/>
      <c r="R56" s="364" t="n"/>
      <c r="S56" s="364" t="n"/>
      <c r="T56" s="364" t="n"/>
      <c r="U56" s="364" t="n"/>
      <c r="V56" s="364" t="n"/>
      <c r="W56" s="364" t="n"/>
      <c r="X56" s="364" t="n"/>
      <c r="Y56" s="364" t="n"/>
      <c r="Z56" s="364" t="n"/>
    </row>
    <row r="57">
      <c r="A57" s="364" t="n"/>
      <c r="B57" s="364" t="n"/>
      <c r="C57" s="364" t="n"/>
      <c r="D57" s="364" t="n"/>
      <c r="E57" s="364" t="n"/>
      <c r="F57" s="364" t="n"/>
      <c r="G57" s="364" t="n"/>
      <c r="H57" s="364" t="n"/>
      <c r="I57" s="364" t="n"/>
      <c r="J57" s="364" t="n"/>
      <c r="K57" s="364" t="n"/>
      <c r="L57" s="364" t="n"/>
      <c r="M57" s="364" t="n"/>
      <c r="N57" s="364" t="n"/>
      <c r="O57" s="364" t="n"/>
      <c r="P57" s="364" t="n"/>
      <c r="Q57" s="364" t="n"/>
      <c r="R57" s="364" t="n"/>
      <c r="S57" s="364" t="n"/>
      <c r="T57" s="364" t="n"/>
      <c r="U57" s="364" t="n"/>
      <c r="V57" s="364" t="n"/>
      <c r="W57" s="364" t="n"/>
      <c r="X57" s="364" t="n"/>
      <c r="Y57" s="364" t="n"/>
      <c r="Z57" s="364" t="n"/>
    </row>
    <row r="58">
      <c r="A58" s="364" t="n"/>
      <c r="B58" s="364" t="n"/>
      <c r="C58" s="364" t="n"/>
      <c r="D58" s="364" t="n"/>
      <c r="E58" s="364" t="n"/>
      <c r="F58" s="364" t="n"/>
      <c r="G58" s="364" t="n"/>
      <c r="H58" s="364" t="n"/>
      <c r="I58" s="364" t="n"/>
      <c r="J58" s="364" t="n"/>
      <c r="K58" s="364" t="n"/>
      <c r="L58" s="364" t="n"/>
      <c r="M58" s="364" t="n"/>
      <c r="N58" s="364" t="n"/>
      <c r="O58" s="364" t="n"/>
      <c r="P58" s="364" t="n"/>
      <c r="Q58" s="364" t="n"/>
      <c r="R58" s="364" t="n"/>
      <c r="S58" s="364" t="n"/>
      <c r="T58" s="364" t="n"/>
      <c r="U58" s="364" t="n"/>
      <c r="V58" s="364" t="n"/>
      <c r="W58" s="364" t="n"/>
      <c r="X58" s="364" t="n"/>
      <c r="Y58" s="364" t="n"/>
      <c r="Z58" s="364" t="n"/>
    </row>
    <row r="59">
      <c r="A59" s="364" t="n"/>
      <c r="B59" s="364" t="n"/>
      <c r="C59" s="364" t="n"/>
      <c r="D59" s="364" t="n"/>
      <c r="E59" s="364" t="n"/>
      <c r="F59" s="364" t="n"/>
      <c r="G59" s="364" t="n"/>
      <c r="H59" s="364" t="n"/>
      <c r="I59" s="364" t="n"/>
      <c r="J59" s="364" t="n"/>
      <c r="K59" s="364" t="n"/>
      <c r="L59" s="364" t="n"/>
      <c r="M59" s="364" t="n"/>
      <c r="N59" s="364" t="n"/>
      <c r="O59" s="364" t="n"/>
      <c r="P59" s="364" t="n"/>
      <c r="Q59" s="364" t="n"/>
      <c r="R59" s="364" t="n"/>
      <c r="S59" s="364" t="n"/>
      <c r="T59" s="364" t="n"/>
      <c r="U59" s="364" t="n"/>
      <c r="V59" s="364" t="n"/>
      <c r="W59" s="364" t="n"/>
      <c r="X59" s="364" t="n"/>
      <c r="Y59" s="364" t="n"/>
      <c r="Z59" s="364" t="n"/>
    </row>
    <row r="60">
      <c r="A60" s="364" t="n"/>
      <c r="B60" s="364" t="n"/>
      <c r="C60" s="364" t="n"/>
      <c r="D60" s="364" t="n"/>
      <c r="E60" s="364" t="n"/>
      <c r="F60" s="364" t="n"/>
      <c r="G60" s="364" t="n"/>
      <c r="H60" s="364" t="n"/>
      <c r="I60" s="364" t="n"/>
      <c r="J60" s="364" t="n"/>
      <c r="K60" s="364" t="n"/>
      <c r="L60" s="364" t="n"/>
      <c r="M60" s="364" t="n"/>
      <c r="N60" s="364" t="n"/>
      <c r="O60" s="364" t="n"/>
      <c r="P60" s="364" t="n"/>
      <c r="Q60" s="364" t="n"/>
      <c r="R60" s="364" t="n"/>
      <c r="S60" s="364" t="n"/>
      <c r="T60" s="364" t="n"/>
      <c r="U60" s="364" t="n"/>
      <c r="V60" s="364" t="n"/>
      <c r="W60" s="364" t="n"/>
      <c r="X60" s="364" t="n"/>
      <c r="Y60" s="364" t="n"/>
      <c r="Z60" s="364" t="n"/>
    </row>
    <row r="61">
      <c r="A61" s="364" t="n"/>
      <c r="B61" s="364" t="n"/>
      <c r="C61" s="364" t="n"/>
      <c r="D61" s="364" t="n"/>
      <c r="E61" s="364" t="n"/>
      <c r="F61" s="364" t="n"/>
      <c r="G61" s="364" t="n"/>
      <c r="H61" s="364" t="n"/>
      <c r="I61" s="364" t="n"/>
      <c r="J61" s="364" t="n"/>
      <c r="K61" s="364" t="n"/>
      <c r="L61" s="364" t="n"/>
      <c r="M61" s="364" t="n"/>
      <c r="N61" s="364" t="n"/>
      <c r="O61" s="364" t="n"/>
      <c r="P61" s="364" t="n"/>
      <c r="Q61" s="364" t="n"/>
      <c r="R61" s="364" t="n"/>
      <c r="S61" s="364" t="n"/>
      <c r="T61" s="364" t="n"/>
      <c r="U61" s="364" t="n"/>
      <c r="V61" s="364" t="n"/>
      <c r="W61" s="364" t="n"/>
      <c r="X61" s="364" t="n"/>
      <c r="Y61" s="364" t="n"/>
      <c r="Z61" s="364" t="n"/>
    </row>
    <row r="62">
      <c r="A62" s="364" t="n"/>
      <c r="B62" s="364" t="n"/>
      <c r="C62" s="364" t="n"/>
      <c r="D62" s="364" t="n"/>
      <c r="E62" s="364" t="n"/>
      <c r="F62" s="364" t="n"/>
      <c r="G62" s="364" t="n"/>
      <c r="H62" s="364" t="n"/>
      <c r="I62" s="364" t="n"/>
      <c r="J62" s="364" t="n"/>
      <c r="K62" s="364" t="n"/>
      <c r="L62" s="364" t="n"/>
      <c r="M62" s="364" t="n"/>
      <c r="N62" s="364" t="n"/>
      <c r="O62" s="364" t="n"/>
      <c r="P62" s="364" t="n"/>
      <c r="Q62" s="364" t="n"/>
      <c r="R62" s="364" t="n"/>
      <c r="S62" s="364" t="n"/>
      <c r="T62" s="364" t="n"/>
      <c r="U62" s="364" t="n"/>
      <c r="V62" s="364" t="n"/>
      <c r="W62" s="364" t="n"/>
      <c r="X62" s="364" t="n"/>
      <c r="Y62" s="364" t="n"/>
      <c r="Z62" s="364" t="n"/>
    </row>
    <row r="63">
      <c r="A63" s="364" t="n"/>
      <c r="B63" s="364" t="n"/>
      <c r="C63" s="364" t="n"/>
      <c r="D63" s="364" t="n"/>
      <c r="E63" s="364" t="n"/>
      <c r="F63" s="364" t="n"/>
      <c r="G63" s="364" t="n"/>
      <c r="H63" s="364" t="n"/>
      <c r="I63" s="364" t="n"/>
      <c r="J63" s="364" t="n"/>
      <c r="K63" s="364" t="n"/>
      <c r="L63" s="364" t="n"/>
      <c r="M63" s="364" t="n"/>
      <c r="N63" s="364" t="n"/>
      <c r="O63" s="364" t="n"/>
      <c r="P63" s="364" t="n"/>
      <c r="Q63" s="364" t="n"/>
      <c r="R63" s="364" t="n"/>
      <c r="S63" s="364" t="n"/>
      <c r="T63" s="364" t="n"/>
      <c r="U63" s="364" t="n"/>
      <c r="V63" s="364" t="n"/>
      <c r="W63" s="364" t="n"/>
      <c r="X63" s="364" t="n"/>
      <c r="Y63" s="364" t="n"/>
      <c r="Z63" s="364" t="n"/>
    </row>
    <row r="64">
      <c r="A64" s="364" t="n"/>
      <c r="B64" s="364" t="n"/>
      <c r="C64" s="364" t="n"/>
      <c r="D64" s="364" t="n"/>
      <c r="E64" s="364" t="n"/>
      <c r="F64" s="364" t="n"/>
      <c r="G64" s="364" t="n"/>
      <c r="H64" s="364" t="n"/>
      <c r="I64" s="364" t="n"/>
      <c r="J64" s="364" t="n"/>
      <c r="K64" s="364" t="n"/>
      <c r="L64" s="364" t="n"/>
      <c r="M64" s="364" t="n"/>
      <c r="N64" s="364" t="n"/>
      <c r="O64" s="364" t="n"/>
      <c r="P64" s="364" t="n"/>
      <c r="Q64" s="364" t="n"/>
      <c r="R64" s="364" t="n"/>
      <c r="S64" s="364" t="n"/>
      <c r="T64" s="364" t="n"/>
      <c r="U64" s="364" t="n"/>
      <c r="V64" s="364" t="n"/>
      <c r="W64" s="364" t="n"/>
      <c r="X64" s="364" t="n"/>
      <c r="Y64" s="364" t="n"/>
      <c r="Z64" s="364" t="n"/>
    </row>
    <row r="65">
      <c r="A65" s="364" t="n"/>
      <c r="B65" s="364" t="n"/>
      <c r="C65" s="364" t="n"/>
      <c r="D65" s="364" t="n"/>
      <c r="E65" s="364" t="n"/>
      <c r="F65" s="364" t="n"/>
      <c r="G65" s="364" t="n"/>
      <c r="H65" s="364" t="n"/>
      <c r="I65" s="364" t="n"/>
      <c r="J65" s="364" t="n"/>
      <c r="K65" s="364" t="n"/>
      <c r="L65" s="364" t="n"/>
      <c r="M65" s="364" t="n"/>
      <c r="N65" s="364" t="n"/>
      <c r="O65" s="364" t="n"/>
      <c r="P65" s="364" t="n"/>
      <c r="Q65" s="364" t="n"/>
      <c r="R65" s="364" t="n"/>
      <c r="S65" s="364" t="n"/>
      <c r="T65" s="364" t="n"/>
      <c r="U65" s="364" t="n"/>
      <c r="V65" s="364" t="n"/>
      <c r="W65" s="364" t="n"/>
      <c r="X65" s="364" t="n"/>
      <c r="Y65" s="364" t="n"/>
      <c r="Z65" s="364" t="n"/>
    </row>
    <row r="66">
      <c r="A66" s="364" t="n"/>
      <c r="B66" s="364" t="n"/>
      <c r="C66" s="364" t="n"/>
      <c r="D66" s="364" t="n"/>
      <c r="E66" s="364" t="n"/>
      <c r="F66" s="364" t="n"/>
      <c r="G66" s="364" t="n"/>
      <c r="H66" s="364" t="n"/>
      <c r="I66" s="364" t="n"/>
      <c r="J66" s="364" t="n"/>
      <c r="K66" s="364" t="n"/>
      <c r="L66" s="364" t="n"/>
      <c r="M66" s="364" t="n"/>
      <c r="N66" s="364" t="n"/>
      <c r="O66" s="364" t="n"/>
      <c r="P66" s="364" t="n"/>
      <c r="Q66" s="364" t="n"/>
      <c r="R66" s="364" t="n"/>
      <c r="S66" s="364" t="n"/>
      <c r="T66" s="364" t="n"/>
      <c r="U66" s="364" t="n"/>
      <c r="V66" s="364" t="n"/>
      <c r="W66" s="364" t="n"/>
      <c r="X66" s="364" t="n"/>
      <c r="Y66" s="364" t="n"/>
      <c r="Z66" s="364" t="n"/>
    </row>
    <row r="67">
      <c r="A67" s="364" t="n"/>
      <c r="B67" s="364" t="n"/>
      <c r="C67" s="364" t="n"/>
      <c r="D67" s="364" t="n"/>
      <c r="E67" s="364" t="n"/>
      <c r="F67" s="364" t="n"/>
      <c r="G67" s="364" t="n"/>
      <c r="H67" s="364" t="n"/>
      <c r="I67" s="364" t="n"/>
      <c r="J67" s="364" t="n"/>
      <c r="K67" s="364" t="n"/>
      <c r="L67" s="364" t="n"/>
      <c r="M67" s="364" t="n"/>
      <c r="N67" s="364" t="n"/>
      <c r="O67" s="364" t="n"/>
      <c r="P67" s="364" t="n"/>
      <c r="Q67" s="364" t="n"/>
      <c r="R67" s="364" t="n"/>
      <c r="S67" s="364" t="n"/>
      <c r="T67" s="364" t="n"/>
      <c r="U67" s="364" t="n"/>
      <c r="V67" s="364" t="n"/>
      <c r="W67" s="364" t="n"/>
      <c r="X67" s="364" t="n"/>
      <c r="Y67" s="364" t="n"/>
      <c r="Z67" s="364" t="n"/>
    </row>
    <row r="68">
      <c r="A68" s="364" t="n"/>
      <c r="B68" s="364" t="n"/>
      <c r="C68" s="364" t="n"/>
      <c r="D68" s="364" t="n"/>
      <c r="E68" s="364" t="n"/>
      <c r="F68" s="364" t="n"/>
      <c r="G68" s="364" t="n"/>
      <c r="H68" s="364" t="n"/>
      <c r="I68" s="364" t="n"/>
      <c r="J68" s="364" t="n"/>
      <c r="K68" s="364" t="n"/>
      <c r="L68" s="364" t="n"/>
      <c r="M68" s="364" t="n"/>
      <c r="N68" s="364" t="n"/>
      <c r="O68" s="364" t="n"/>
      <c r="P68" s="364" t="n"/>
      <c r="Q68" s="364" t="n"/>
      <c r="R68" s="364" t="n"/>
      <c r="S68" s="364" t="n"/>
      <c r="T68" s="364" t="n"/>
      <c r="U68" s="364" t="n"/>
      <c r="V68" s="364" t="n"/>
      <c r="W68" s="364" t="n"/>
      <c r="X68" s="364" t="n"/>
      <c r="Y68" s="364" t="n"/>
      <c r="Z68" s="364" t="n"/>
    </row>
    <row r="69">
      <c r="A69" s="364" t="n"/>
      <c r="B69" s="364" t="n"/>
      <c r="C69" s="364" t="n"/>
      <c r="D69" s="364" t="n"/>
      <c r="E69" s="364" t="n"/>
      <c r="F69" s="364" t="n"/>
      <c r="G69" s="364" t="n"/>
      <c r="H69" s="364" t="n"/>
      <c r="I69" s="364" t="n"/>
      <c r="J69" s="364" t="n"/>
      <c r="K69" s="364" t="n"/>
      <c r="L69" s="364" t="n"/>
      <c r="M69" s="364" t="n"/>
      <c r="N69" s="364" t="n"/>
      <c r="O69" s="364" t="n"/>
      <c r="P69" s="364" t="n"/>
      <c r="Q69" s="364" t="n"/>
      <c r="R69" s="364" t="n"/>
      <c r="S69" s="364" t="n"/>
      <c r="T69" s="364" t="n"/>
      <c r="U69" s="364" t="n"/>
      <c r="V69" s="364" t="n"/>
      <c r="W69" s="364" t="n"/>
      <c r="X69" s="364" t="n"/>
      <c r="Y69" s="364" t="n"/>
      <c r="Z69" s="364" t="n"/>
    </row>
    <row r="70">
      <c r="A70" s="364" t="n"/>
      <c r="B70" s="364" t="n"/>
      <c r="C70" s="364" t="n"/>
      <c r="D70" s="364" t="n"/>
      <c r="E70" s="364" t="n"/>
      <c r="F70" s="364" t="n"/>
      <c r="G70" s="364" t="n"/>
      <c r="H70" s="364" t="n"/>
      <c r="I70" s="364" t="n"/>
      <c r="J70" s="364" t="n"/>
      <c r="K70" s="364" t="n"/>
      <c r="L70" s="364" t="n"/>
      <c r="M70" s="364" t="n"/>
      <c r="N70" s="364" t="n"/>
      <c r="O70" s="364" t="n"/>
      <c r="P70" s="364" t="n"/>
      <c r="Q70" s="364" t="n"/>
      <c r="R70" s="364" t="n"/>
      <c r="S70" s="364" t="n"/>
      <c r="T70" s="364" t="n"/>
      <c r="U70" s="364" t="n"/>
      <c r="V70" s="364" t="n"/>
      <c r="W70" s="364" t="n"/>
      <c r="X70" s="364" t="n"/>
      <c r="Y70" s="364" t="n"/>
      <c r="Z70" s="364" t="n"/>
    </row>
    <row r="71">
      <c r="A71" s="364" t="n"/>
      <c r="B71" s="364" t="n"/>
      <c r="C71" s="364" t="n"/>
      <c r="D71" s="364" t="n"/>
      <c r="E71" s="364" t="n"/>
      <c r="F71" s="364" t="n"/>
      <c r="G71" s="364" t="n"/>
      <c r="H71" s="364" t="n"/>
      <c r="I71" s="364" t="n"/>
      <c r="J71" s="364" t="n"/>
      <c r="K71" s="364" t="n"/>
      <c r="L71" s="364" t="n"/>
      <c r="M71" s="364" t="n"/>
      <c r="N71" s="364" t="n"/>
      <c r="O71" s="364" t="n"/>
      <c r="P71" s="364" t="n"/>
      <c r="Q71" s="364" t="n"/>
      <c r="R71" s="364" t="n"/>
      <c r="S71" s="364" t="n"/>
      <c r="T71" s="364" t="n"/>
      <c r="U71" s="364" t="n"/>
      <c r="V71" s="364" t="n"/>
      <c r="W71" s="364" t="n"/>
      <c r="X71" s="364" t="n"/>
      <c r="Y71" s="364" t="n"/>
      <c r="Z71" s="364" t="n"/>
    </row>
    <row r="72">
      <c r="A72" s="364" t="n"/>
      <c r="B72" s="364" t="n"/>
      <c r="C72" s="364" t="n"/>
      <c r="D72" s="364" t="n"/>
      <c r="E72" s="364" t="n"/>
      <c r="F72" s="364" t="n"/>
      <c r="G72" s="364" t="n"/>
      <c r="H72" s="364" t="n"/>
      <c r="I72" s="364" t="n"/>
      <c r="J72" s="364" t="n"/>
      <c r="K72" s="364" t="n"/>
      <c r="L72" s="364" t="n"/>
      <c r="M72" s="364" t="n"/>
      <c r="N72" s="364" t="n"/>
      <c r="O72" s="364" t="n"/>
      <c r="P72" s="364" t="n"/>
      <c r="Q72" s="364" t="n"/>
      <c r="R72" s="364" t="n"/>
      <c r="S72" s="364" t="n"/>
      <c r="T72" s="364" t="n"/>
      <c r="U72" s="364" t="n"/>
      <c r="V72" s="364" t="n"/>
      <c r="W72" s="364" t="n"/>
      <c r="X72" s="364" t="n"/>
      <c r="Y72" s="364" t="n"/>
      <c r="Z72" s="364" t="n"/>
    </row>
    <row r="73">
      <c r="A73" s="364" t="n"/>
      <c r="B73" s="364" t="n"/>
      <c r="C73" s="364" t="n"/>
      <c r="D73" s="364" t="n"/>
      <c r="E73" s="364" t="n"/>
      <c r="F73" s="364" t="n"/>
      <c r="G73" s="364" t="n"/>
      <c r="H73" s="364" t="n"/>
      <c r="I73" s="364" t="n"/>
      <c r="J73" s="364" t="n"/>
      <c r="K73" s="364" t="n"/>
      <c r="L73" s="364" t="n"/>
      <c r="M73" s="364" t="n"/>
      <c r="N73" s="364" t="n"/>
      <c r="O73" s="364" t="n"/>
      <c r="P73" s="364" t="n"/>
      <c r="Q73" s="364" t="n"/>
      <c r="R73" s="364" t="n"/>
      <c r="S73" s="364" t="n"/>
      <c r="T73" s="364" t="n"/>
      <c r="U73" s="364" t="n"/>
      <c r="V73" s="364" t="n"/>
      <c r="W73" s="364" t="n"/>
      <c r="X73" s="364" t="n"/>
      <c r="Y73" s="364" t="n"/>
      <c r="Z73" s="364" t="n"/>
    </row>
    <row r="74">
      <c r="A74" s="364" t="n"/>
      <c r="B74" s="364" t="n"/>
      <c r="C74" s="364" t="n"/>
      <c r="D74" s="364" t="n"/>
      <c r="E74" s="364" t="n"/>
      <c r="F74" s="364" t="n"/>
      <c r="G74" s="364" t="n"/>
      <c r="H74" s="364" t="n"/>
      <c r="I74" s="364" t="n"/>
      <c r="J74" s="364" t="n"/>
      <c r="K74" s="364" t="n"/>
      <c r="L74" s="364" t="n"/>
      <c r="M74" s="364" t="n"/>
      <c r="N74" s="364" t="n"/>
      <c r="O74" s="364" t="n"/>
      <c r="P74" s="364" t="n"/>
      <c r="Q74" s="364" t="n"/>
      <c r="R74" s="364" t="n"/>
      <c r="S74" s="364" t="n"/>
      <c r="T74" s="364" t="n"/>
      <c r="U74" s="364" t="n"/>
      <c r="V74" s="364" t="n"/>
      <c r="W74" s="364" t="n"/>
      <c r="X74" s="364" t="n"/>
      <c r="Y74" s="364" t="n"/>
      <c r="Z74" s="364" t="n"/>
    </row>
    <row r="75">
      <c r="A75" s="364" t="n"/>
      <c r="B75" s="364" t="n"/>
      <c r="C75" s="364" t="n"/>
      <c r="D75" s="364" t="n"/>
      <c r="E75" s="364" t="n"/>
      <c r="F75" s="364" t="n"/>
      <c r="G75" s="364" t="n"/>
      <c r="H75" s="364" t="n"/>
      <c r="I75" s="364" t="n"/>
      <c r="J75" s="364" t="n"/>
      <c r="K75" s="364" t="n"/>
      <c r="L75" s="364" t="n"/>
      <c r="M75" s="364" t="n"/>
      <c r="N75" s="364" t="n"/>
      <c r="O75" s="364" t="n"/>
      <c r="P75" s="364" t="n"/>
      <c r="Q75" s="364" t="n"/>
      <c r="R75" s="364" t="n"/>
      <c r="S75" s="364" t="n"/>
      <c r="T75" s="364" t="n"/>
      <c r="U75" s="364" t="n"/>
      <c r="V75" s="364" t="n"/>
      <c r="W75" s="364" t="n"/>
      <c r="X75" s="364" t="n"/>
      <c r="Y75" s="364" t="n"/>
      <c r="Z75" s="364" t="n"/>
    </row>
    <row r="76">
      <c r="A76" s="364" t="n"/>
      <c r="B76" s="364" t="n"/>
      <c r="C76" s="364" t="n"/>
      <c r="D76" s="364" t="n"/>
      <c r="E76" s="364" t="n"/>
      <c r="F76" s="364" t="n"/>
      <c r="G76" s="364" t="n"/>
      <c r="H76" s="364" t="n"/>
      <c r="I76" s="364" t="n"/>
      <c r="J76" s="364" t="n"/>
      <c r="K76" s="364" t="n"/>
      <c r="L76" s="364" t="n"/>
      <c r="M76" s="364" t="n"/>
      <c r="N76" s="364" t="n"/>
      <c r="O76" s="364" t="n"/>
      <c r="P76" s="364" t="n"/>
      <c r="Q76" s="364" t="n"/>
      <c r="R76" s="364" t="n"/>
      <c r="S76" s="364" t="n"/>
      <c r="T76" s="364" t="n"/>
      <c r="U76" s="364" t="n"/>
      <c r="V76" s="364" t="n"/>
      <c r="W76" s="364" t="n"/>
      <c r="X76" s="364" t="n"/>
      <c r="Y76" s="364" t="n"/>
      <c r="Z76" s="364" t="n"/>
    </row>
    <row r="77">
      <c r="A77" s="364" t="n"/>
      <c r="B77" s="364" t="n"/>
      <c r="C77" s="364" t="n"/>
      <c r="D77" s="364" t="n"/>
      <c r="E77" s="364" t="n"/>
      <c r="F77" s="364" t="n"/>
      <c r="G77" s="364" t="n"/>
      <c r="H77" s="364" t="n"/>
      <c r="I77" s="364" t="n"/>
      <c r="J77" s="364" t="n"/>
      <c r="K77" s="364" t="n"/>
      <c r="L77" s="364" t="n"/>
      <c r="M77" s="364" t="n"/>
      <c r="N77" s="364" t="n"/>
      <c r="O77" s="364" t="n"/>
      <c r="P77" s="364" t="n"/>
      <c r="Q77" s="364" t="n"/>
      <c r="R77" s="364" t="n"/>
      <c r="S77" s="364" t="n"/>
      <c r="T77" s="364" t="n"/>
      <c r="U77" s="364" t="n"/>
      <c r="V77" s="364" t="n"/>
      <c r="W77" s="364" t="n"/>
      <c r="X77" s="364" t="n"/>
      <c r="Y77" s="364" t="n"/>
      <c r="Z77" s="364" t="n"/>
    </row>
    <row r="78">
      <c r="A78" s="364" t="n"/>
      <c r="B78" s="364" t="n"/>
      <c r="C78" s="364" t="n"/>
      <c r="D78" s="364" t="n"/>
      <c r="E78" s="364" t="n"/>
      <c r="F78" s="364" t="n"/>
      <c r="G78" s="364" t="n"/>
      <c r="H78" s="364" t="n"/>
      <c r="I78" s="364" t="n"/>
      <c r="J78" s="364" t="n"/>
      <c r="K78" s="364" t="n"/>
      <c r="L78" s="364" t="n"/>
      <c r="M78" s="364" t="n"/>
      <c r="N78" s="364" t="n"/>
      <c r="O78" s="364" t="n"/>
      <c r="P78" s="364" t="n"/>
      <c r="Q78" s="364" t="n"/>
      <c r="R78" s="364" t="n"/>
      <c r="S78" s="364" t="n"/>
      <c r="T78" s="364" t="n"/>
      <c r="U78" s="364" t="n"/>
      <c r="V78" s="364" t="n"/>
      <c r="W78" s="364" t="n"/>
      <c r="X78" s="364" t="n"/>
      <c r="Y78" s="364" t="n"/>
      <c r="Z78" s="364" t="n"/>
    </row>
    <row r="79">
      <c r="A79" s="364" t="n"/>
      <c r="B79" s="364" t="n"/>
      <c r="C79" s="364" t="n"/>
      <c r="D79" s="364" t="n"/>
      <c r="E79" s="364" t="n"/>
      <c r="F79" s="364" t="n"/>
      <c r="G79" s="364" t="n"/>
      <c r="H79" s="364" t="n"/>
      <c r="I79" s="364" t="n"/>
      <c r="J79" s="364" t="n"/>
      <c r="K79" s="364" t="n"/>
      <c r="L79" s="364" t="n"/>
      <c r="M79" s="364" t="n"/>
      <c r="N79" s="364" t="n"/>
      <c r="O79" s="364" t="n"/>
      <c r="P79" s="364" t="n"/>
      <c r="Q79" s="364" t="n"/>
      <c r="R79" s="364" t="n"/>
      <c r="S79" s="364" t="n"/>
      <c r="T79" s="364" t="n"/>
      <c r="U79" s="364" t="n"/>
      <c r="V79" s="364" t="n"/>
      <c r="W79" s="364" t="n"/>
      <c r="X79" s="364" t="n"/>
      <c r="Y79" s="364" t="n"/>
      <c r="Z79" s="364" t="n"/>
    </row>
    <row r="80">
      <c r="A80" s="364" t="n"/>
      <c r="B80" s="364" t="n"/>
      <c r="C80" s="364" t="n"/>
      <c r="D80" s="364" t="n"/>
      <c r="E80" s="364" t="n"/>
      <c r="F80" s="364" t="n"/>
      <c r="G80" s="364" t="n"/>
      <c r="H80" s="364" t="n"/>
      <c r="I80" s="364" t="n"/>
      <c r="J80" s="364" t="n"/>
      <c r="K80" s="364" t="n"/>
      <c r="L80" s="364" t="n"/>
      <c r="M80" s="364" t="n"/>
      <c r="N80" s="364" t="n"/>
      <c r="O80" s="364" t="n"/>
      <c r="P80" s="364" t="n"/>
      <c r="Q80" s="364" t="n"/>
      <c r="R80" s="364" t="n"/>
      <c r="S80" s="364" t="n"/>
      <c r="T80" s="364" t="n"/>
      <c r="U80" s="364" t="n"/>
      <c r="V80" s="364" t="n"/>
      <c r="W80" s="364" t="n"/>
      <c r="X80" s="364" t="n"/>
      <c r="Y80" s="364" t="n"/>
      <c r="Z80" s="364" t="n"/>
    </row>
    <row r="81">
      <c r="A81" s="364" t="n"/>
      <c r="B81" s="364" t="n"/>
      <c r="C81" s="364" t="n"/>
      <c r="D81" s="364" t="n"/>
      <c r="E81" s="364" t="n"/>
      <c r="F81" s="364" t="n"/>
      <c r="G81" s="364" t="n"/>
      <c r="H81" s="364" t="n"/>
      <c r="I81" s="364" t="n"/>
      <c r="J81" s="364" t="n"/>
      <c r="K81" s="364" t="n"/>
      <c r="L81" s="364" t="n"/>
      <c r="M81" s="364" t="n"/>
      <c r="N81" s="364" t="n"/>
      <c r="O81" s="364" t="n"/>
      <c r="P81" s="364" t="n"/>
      <c r="Q81" s="364" t="n"/>
      <c r="R81" s="364" t="n"/>
      <c r="S81" s="364" t="n"/>
      <c r="T81" s="364" t="n"/>
      <c r="U81" s="364" t="n"/>
      <c r="V81" s="364" t="n"/>
      <c r="W81" s="364" t="n"/>
      <c r="X81" s="364" t="n"/>
      <c r="Y81" s="364" t="n"/>
      <c r="Z81" s="364" t="n"/>
    </row>
    <row r="82">
      <c r="A82" s="364" t="n"/>
      <c r="B82" s="364" t="n"/>
      <c r="C82" s="364" t="n"/>
      <c r="D82" s="364" t="n"/>
      <c r="E82" s="364" t="n"/>
      <c r="F82" s="364" t="n"/>
      <c r="G82" s="364" t="n"/>
      <c r="H82" s="364" t="n"/>
      <c r="I82" s="364" t="n"/>
      <c r="J82" s="364" t="n"/>
      <c r="K82" s="364" t="n"/>
      <c r="L82" s="364" t="n"/>
      <c r="M82" s="364" t="n"/>
      <c r="N82" s="364" t="n"/>
      <c r="O82" s="364" t="n"/>
      <c r="P82" s="364" t="n"/>
      <c r="Q82" s="364" t="n"/>
      <c r="R82" s="364" t="n"/>
      <c r="S82" s="364" t="n"/>
      <c r="T82" s="364" t="n"/>
      <c r="U82" s="364" t="n"/>
      <c r="V82" s="364" t="n"/>
      <c r="W82" s="364" t="n"/>
      <c r="X82" s="364" t="n"/>
      <c r="Y82" s="364" t="n"/>
      <c r="Z82" s="364" t="n"/>
    </row>
    <row r="83">
      <c r="A83" s="364" t="n"/>
      <c r="B83" s="364" t="n"/>
      <c r="C83" s="364" t="n"/>
      <c r="D83" s="364" t="n"/>
      <c r="E83" s="364" t="n"/>
      <c r="F83" s="364" t="n"/>
      <c r="G83" s="364" t="n"/>
      <c r="H83" s="364" t="n"/>
      <c r="I83" s="364" t="n"/>
      <c r="J83" s="364" t="n"/>
      <c r="K83" s="364" t="n"/>
      <c r="L83" s="364" t="n"/>
      <c r="M83" s="364" t="n"/>
      <c r="N83" s="364" t="n"/>
      <c r="O83" s="364" t="n"/>
      <c r="P83" s="364" t="n"/>
      <c r="Q83" s="364" t="n"/>
      <c r="R83" s="364" t="n"/>
      <c r="S83" s="364" t="n"/>
      <c r="T83" s="364" t="n"/>
      <c r="U83" s="364" t="n"/>
      <c r="V83" s="364" t="n"/>
      <c r="W83" s="364" t="n"/>
      <c r="X83" s="364" t="n"/>
      <c r="Y83" s="364" t="n"/>
      <c r="Z83" s="364" t="n"/>
    </row>
    <row r="84">
      <c r="A84" s="364" t="n"/>
      <c r="B84" s="364" t="n"/>
      <c r="C84" s="364" t="n"/>
      <c r="D84" s="364" t="n"/>
      <c r="E84" s="364" t="n"/>
      <c r="F84" s="364" t="n"/>
      <c r="G84" s="364" t="n"/>
      <c r="H84" s="364" t="n"/>
      <c r="I84" s="364" t="n"/>
      <c r="J84" s="364" t="n"/>
      <c r="K84" s="364" t="n"/>
      <c r="L84" s="364" t="n"/>
      <c r="M84" s="364" t="n"/>
      <c r="N84" s="364" t="n"/>
      <c r="O84" s="364" t="n"/>
      <c r="P84" s="364" t="n"/>
      <c r="Q84" s="364" t="n"/>
      <c r="R84" s="364" t="n"/>
      <c r="S84" s="364" t="n"/>
      <c r="T84" s="364" t="n"/>
      <c r="U84" s="364" t="n"/>
      <c r="V84" s="364" t="n"/>
      <c r="W84" s="364" t="n"/>
      <c r="X84" s="364" t="n"/>
      <c r="Y84" s="364" t="n"/>
      <c r="Z84" s="364" t="n"/>
    </row>
    <row r="85">
      <c r="A85" s="364" t="n"/>
      <c r="B85" s="364" t="n"/>
      <c r="C85" s="364" t="n"/>
      <c r="D85" s="364" t="n"/>
      <c r="E85" s="364" t="n"/>
      <c r="F85" s="364" t="n"/>
      <c r="G85" s="364" t="n"/>
      <c r="H85" s="364" t="n"/>
      <c r="I85" s="364" t="n"/>
      <c r="J85" s="364" t="n"/>
      <c r="K85" s="364" t="n"/>
      <c r="L85" s="364" t="n"/>
      <c r="M85" s="364" t="n"/>
      <c r="N85" s="364" t="n"/>
      <c r="O85" s="364" t="n"/>
      <c r="P85" s="364" t="n"/>
      <c r="Q85" s="364" t="n"/>
      <c r="R85" s="364" t="n"/>
      <c r="S85" s="364" t="n"/>
      <c r="T85" s="364" t="n"/>
      <c r="U85" s="364" t="n"/>
      <c r="V85" s="364" t="n"/>
      <c r="W85" s="364" t="n"/>
      <c r="X85" s="364" t="n"/>
      <c r="Y85" s="364" t="n"/>
      <c r="Z85" s="364" t="n"/>
    </row>
    <row r="86">
      <c r="A86" s="364" t="n"/>
      <c r="B86" s="364" t="n"/>
      <c r="C86" s="364" t="n"/>
      <c r="D86" s="364" t="n"/>
      <c r="E86" s="364" t="n"/>
      <c r="F86" s="364" t="n"/>
      <c r="G86" s="364" t="n"/>
      <c r="H86" s="364" t="n"/>
      <c r="I86" s="364" t="n"/>
      <c r="J86" s="364" t="n"/>
      <c r="K86" s="364" t="n"/>
      <c r="L86" s="364" t="n"/>
      <c r="M86" s="364" t="n"/>
      <c r="N86" s="364" t="n"/>
      <c r="O86" s="364" t="n"/>
      <c r="P86" s="364" t="n"/>
      <c r="Q86" s="364" t="n"/>
      <c r="R86" s="364" t="n"/>
      <c r="S86" s="364" t="n"/>
      <c r="T86" s="364" t="n"/>
      <c r="U86" s="364" t="n"/>
      <c r="V86" s="364" t="n"/>
      <c r="W86" s="364" t="n"/>
      <c r="X86" s="364" t="n"/>
      <c r="Y86" s="364" t="n"/>
      <c r="Z86" s="364" t="n"/>
    </row>
    <row r="87">
      <c r="A87" s="364" t="n"/>
      <c r="B87" s="364" t="n"/>
      <c r="C87" s="364" t="n"/>
      <c r="D87" s="364" t="n"/>
      <c r="E87" s="364" t="n"/>
      <c r="F87" s="364" t="n"/>
      <c r="G87" s="364" t="n"/>
      <c r="H87" s="364" t="n"/>
      <c r="I87" s="364" t="n"/>
      <c r="J87" s="364" t="n"/>
      <c r="K87" s="364" t="n"/>
      <c r="L87" s="364" t="n"/>
      <c r="M87" s="364" t="n"/>
      <c r="N87" s="364" t="n"/>
      <c r="O87" s="364" t="n"/>
      <c r="P87" s="364" t="n"/>
      <c r="Q87" s="364" t="n"/>
      <c r="R87" s="364" t="n"/>
      <c r="S87" s="364" t="n"/>
      <c r="T87" s="364" t="n"/>
      <c r="U87" s="364" t="n"/>
      <c r="V87" s="364" t="n"/>
      <c r="W87" s="364" t="n"/>
      <c r="X87" s="364" t="n"/>
      <c r="Y87" s="364" t="n"/>
      <c r="Z87" s="364" t="n"/>
    </row>
    <row r="88">
      <c r="A88" s="364" t="n"/>
      <c r="B88" s="364" t="n"/>
      <c r="C88" s="364" t="n"/>
      <c r="D88" s="364" t="n"/>
      <c r="E88" s="364" t="n"/>
      <c r="F88" s="364" t="n"/>
      <c r="G88" s="364" t="n"/>
      <c r="H88" s="364" t="n"/>
      <c r="I88" s="364" t="n"/>
      <c r="J88" s="364" t="n"/>
      <c r="K88" s="364" t="n"/>
      <c r="L88" s="364" t="n"/>
      <c r="M88" s="364" t="n"/>
      <c r="N88" s="364" t="n"/>
      <c r="O88" s="364" t="n"/>
      <c r="P88" s="364" t="n"/>
      <c r="Q88" s="364" t="n"/>
      <c r="R88" s="364" t="n"/>
      <c r="S88" s="364" t="n"/>
      <c r="T88" s="364" t="n"/>
      <c r="U88" s="364" t="n"/>
      <c r="V88" s="364" t="n"/>
      <c r="W88" s="364" t="n"/>
      <c r="X88" s="364" t="n"/>
      <c r="Y88" s="364" t="n"/>
      <c r="Z88" s="364" t="n"/>
    </row>
    <row r="89">
      <c r="A89" s="364" t="n"/>
      <c r="B89" s="364" t="n"/>
      <c r="C89" s="364" t="n"/>
      <c r="D89" s="364" t="n"/>
      <c r="E89" s="364" t="n"/>
      <c r="F89" s="364" t="n"/>
      <c r="G89" s="364" t="n"/>
      <c r="H89" s="364" t="n"/>
      <c r="I89" s="364" t="n"/>
      <c r="J89" s="364" t="n"/>
      <c r="K89" s="364" t="n"/>
      <c r="L89" s="364" t="n"/>
      <c r="M89" s="364" t="n"/>
      <c r="N89" s="364" t="n"/>
      <c r="O89" s="364" t="n"/>
      <c r="P89" s="364" t="n"/>
      <c r="Q89" s="364" t="n"/>
      <c r="R89" s="364" t="n"/>
      <c r="S89" s="364" t="n"/>
      <c r="T89" s="364" t="n"/>
      <c r="U89" s="364" t="n"/>
      <c r="V89" s="364" t="n"/>
      <c r="W89" s="364" t="n"/>
      <c r="X89" s="364" t="n"/>
      <c r="Y89" s="364" t="n"/>
      <c r="Z89" s="364" t="n"/>
    </row>
    <row r="90">
      <c r="A90" s="364" t="n"/>
      <c r="B90" s="364" t="n"/>
      <c r="C90" s="364" t="n"/>
      <c r="D90" s="364" t="n"/>
      <c r="E90" s="364" t="n"/>
      <c r="F90" s="364" t="n"/>
      <c r="G90" s="364" t="n"/>
      <c r="H90" s="364" t="n"/>
      <c r="I90" s="364" t="n"/>
      <c r="J90" s="364" t="n"/>
      <c r="K90" s="364" t="n"/>
      <c r="L90" s="364" t="n"/>
      <c r="M90" s="364" t="n"/>
      <c r="N90" s="364" t="n"/>
      <c r="O90" s="364" t="n"/>
      <c r="P90" s="364" t="n"/>
      <c r="Q90" s="364" t="n"/>
      <c r="R90" s="364" t="n"/>
      <c r="S90" s="364" t="n"/>
      <c r="T90" s="364" t="n"/>
      <c r="U90" s="364" t="n"/>
      <c r="V90" s="364" t="n"/>
      <c r="W90" s="364" t="n"/>
      <c r="X90" s="364" t="n"/>
      <c r="Y90" s="364" t="n"/>
      <c r="Z90" s="364" t="n"/>
    </row>
    <row r="91">
      <c r="A91" s="364" t="n"/>
      <c r="B91" s="364" t="n"/>
      <c r="C91" s="364" t="n"/>
      <c r="D91" s="364" t="n"/>
      <c r="E91" s="364" t="n"/>
      <c r="F91" s="364" t="n"/>
      <c r="G91" s="364" t="n"/>
      <c r="H91" s="364" t="n"/>
      <c r="I91" s="364" t="n"/>
      <c r="J91" s="364" t="n"/>
      <c r="K91" s="364" t="n"/>
      <c r="L91" s="364" t="n"/>
      <c r="M91" s="364" t="n"/>
      <c r="N91" s="364" t="n"/>
      <c r="O91" s="364" t="n"/>
      <c r="P91" s="364" t="n"/>
      <c r="Q91" s="364" t="n"/>
      <c r="R91" s="364" t="n"/>
      <c r="S91" s="364" t="n"/>
      <c r="T91" s="364" t="n"/>
      <c r="U91" s="364" t="n"/>
      <c r="V91" s="364" t="n"/>
      <c r="W91" s="364" t="n"/>
      <c r="X91" s="364" t="n"/>
      <c r="Y91" s="364" t="n"/>
      <c r="Z91" s="364" t="n"/>
    </row>
    <row r="92">
      <c r="A92" s="364" t="n"/>
      <c r="B92" s="364" t="n"/>
      <c r="C92" s="364" t="n"/>
      <c r="D92" s="364" t="n"/>
      <c r="E92" s="364" t="n"/>
      <c r="F92" s="364" t="n"/>
      <c r="G92" s="364" t="n"/>
      <c r="H92" s="364" t="n"/>
      <c r="I92" s="364" t="n"/>
      <c r="J92" s="364" t="n"/>
      <c r="K92" s="364" t="n"/>
      <c r="L92" s="364" t="n"/>
      <c r="M92" s="364" t="n"/>
      <c r="N92" s="364" t="n"/>
      <c r="O92" s="364" t="n"/>
      <c r="P92" s="364" t="n"/>
      <c r="Q92" s="364" t="n"/>
      <c r="R92" s="364" t="n"/>
      <c r="S92" s="364" t="n"/>
      <c r="T92" s="364" t="n"/>
      <c r="U92" s="364" t="n"/>
      <c r="V92" s="364" t="n"/>
      <c r="W92" s="364" t="n"/>
      <c r="X92" s="364" t="n"/>
      <c r="Y92" s="364" t="n"/>
      <c r="Z92" s="364" t="n"/>
    </row>
    <row r="93">
      <c r="A93" s="364" t="n"/>
      <c r="B93" s="364" t="n"/>
      <c r="C93" s="364" t="n"/>
      <c r="D93" s="364" t="n"/>
      <c r="E93" s="364" t="n"/>
      <c r="F93" s="364" t="n"/>
      <c r="G93" s="364" t="n"/>
      <c r="H93" s="364" t="n"/>
      <c r="I93" s="364" t="n"/>
      <c r="J93" s="364" t="n"/>
      <c r="K93" s="364" t="n"/>
      <c r="L93" s="364" t="n"/>
      <c r="M93" s="364" t="n"/>
      <c r="N93" s="364" t="n"/>
      <c r="O93" s="364" t="n"/>
      <c r="P93" s="364" t="n"/>
      <c r="Q93" s="364" t="n"/>
      <c r="R93" s="364" t="n"/>
      <c r="S93" s="364" t="n"/>
      <c r="T93" s="364" t="n"/>
      <c r="U93" s="364" t="n"/>
      <c r="V93" s="364" t="n"/>
      <c r="W93" s="364" t="n"/>
      <c r="X93" s="364" t="n"/>
      <c r="Y93" s="364" t="n"/>
      <c r="Z93" s="364" t="n"/>
    </row>
    <row r="94">
      <c r="A94" s="364" t="n"/>
      <c r="B94" s="364" t="n"/>
      <c r="C94" s="364" t="n"/>
      <c r="D94" s="364" t="n"/>
      <c r="E94" s="364" t="n"/>
      <c r="F94" s="364" t="n"/>
      <c r="G94" s="364" t="n"/>
      <c r="H94" s="364" t="n"/>
      <c r="I94" s="364" t="n"/>
      <c r="J94" s="364" t="n"/>
      <c r="K94" s="364" t="n"/>
      <c r="L94" s="364" t="n"/>
      <c r="M94" s="364" t="n"/>
      <c r="N94" s="364" t="n"/>
      <c r="O94" s="364" t="n"/>
      <c r="P94" s="364" t="n"/>
      <c r="Q94" s="364" t="n"/>
      <c r="R94" s="364" t="n"/>
      <c r="S94" s="364" t="n"/>
      <c r="T94" s="364" t="n"/>
      <c r="U94" s="364" t="n"/>
      <c r="V94" s="364" t="n"/>
      <c r="W94" s="364" t="n"/>
      <c r="X94" s="364" t="n"/>
      <c r="Y94" s="364" t="n"/>
      <c r="Z94" s="364" t="n"/>
    </row>
    <row r="95">
      <c r="A95" s="364" t="n"/>
      <c r="B95" s="364" t="n"/>
      <c r="C95" s="364" t="n"/>
      <c r="D95" s="364" t="n"/>
      <c r="E95" s="364" t="n"/>
      <c r="F95" s="364" t="n"/>
      <c r="G95" s="364" t="n"/>
      <c r="H95" s="364" t="n"/>
      <c r="I95" s="364" t="n"/>
      <c r="J95" s="364" t="n"/>
      <c r="K95" s="364" t="n"/>
      <c r="L95" s="364" t="n"/>
      <c r="M95" s="364" t="n"/>
      <c r="N95" s="364" t="n"/>
      <c r="O95" s="364" t="n"/>
      <c r="P95" s="364" t="n"/>
      <c r="Q95" s="364" t="n"/>
      <c r="R95" s="364" t="n"/>
      <c r="S95" s="364" t="n"/>
      <c r="T95" s="364" t="n"/>
      <c r="U95" s="364" t="n"/>
      <c r="V95" s="364" t="n"/>
      <c r="W95" s="364" t="n"/>
      <c r="X95" s="364" t="n"/>
      <c r="Y95" s="364" t="n"/>
      <c r="Z95" s="364" t="n"/>
    </row>
    <row r="96">
      <c r="A96" s="364" t="n"/>
      <c r="B96" s="364" t="n"/>
      <c r="C96" s="364" t="n"/>
      <c r="D96" s="364" t="n"/>
      <c r="E96" s="364" t="n"/>
      <c r="F96" s="364" t="n"/>
      <c r="G96" s="364" t="n"/>
      <c r="H96" s="364" t="n"/>
      <c r="I96" s="364" t="n"/>
      <c r="J96" s="364" t="n"/>
      <c r="K96" s="364" t="n"/>
      <c r="L96" s="364" t="n"/>
      <c r="M96" s="364" t="n"/>
      <c r="N96" s="364" t="n"/>
      <c r="O96" s="364" t="n"/>
      <c r="P96" s="364" t="n"/>
      <c r="Q96" s="364" t="n"/>
      <c r="R96" s="364" t="n"/>
      <c r="S96" s="364" t="n"/>
      <c r="T96" s="364" t="n"/>
      <c r="U96" s="364" t="n"/>
      <c r="V96" s="364" t="n"/>
      <c r="W96" s="364" t="n"/>
      <c r="X96" s="364" t="n"/>
      <c r="Y96" s="364" t="n"/>
      <c r="Z96" s="364" t="n"/>
    </row>
    <row r="97">
      <c r="A97" s="364" t="n"/>
      <c r="B97" s="364" t="n"/>
      <c r="C97" s="364" t="n"/>
      <c r="D97" s="364" t="n"/>
      <c r="E97" s="364" t="n"/>
      <c r="F97" s="364" t="n"/>
      <c r="G97" s="364" t="n"/>
      <c r="H97" s="364" t="n"/>
      <c r="I97" s="364" t="n"/>
      <c r="J97" s="364" t="n"/>
      <c r="K97" s="364" t="n"/>
      <c r="L97" s="364" t="n"/>
      <c r="M97" s="364" t="n"/>
      <c r="N97" s="364" t="n"/>
      <c r="O97" s="364" t="n"/>
      <c r="P97" s="364" t="n"/>
      <c r="Q97" s="364" t="n"/>
      <c r="R97" s="364" t="n"/>
      <c r="S97" s="364" t="n"/>
      <c r="T97" s="364" t="n"/>
      <c r="U97" s="364" t="n"/>
      <c r="V97" s="364" t="n"/>
      <c r="W97" s="364" t="n"/>
      <c r="X97" s="364" t="n"/>
      <c r="Y97" s="364" t="n"/>
      <c r="Z97" s="364" t="n"/>
    </row>
    <row r="98">
      <c r="A98" s="364" t="n"/>
      <c r="B98" s="364" t="n"/>
      <c r="C98" s="364" t="n"/>
      <c r="D98" s="364" t="n"/>
      <c r="E98" s="364" t="n"/>
      <c r="F98" s="364" t="n"/>
      <c r="G98" s="364" t="n"/>
      <c r="H98" s="364" t="n"/>
      <c r="I98" s="364" t="n"/>
      <c r="J98" s="364" t="n"/>
      <c r="K98" s="364" t="n"/>
      <c r="L98" s="364" t="n"/>
      <c r="M98" s="364" t="n"/>
      <c r="N98" s="364" t="n"/>
      <c r="O98" s="364" t="n"/>
      <c r="P98" s="364" t="n"/>
      <c r="Q98" s="364" t="n"/>
      <c r="R98" s="364" t="n"/>
      <c r="S98" s="364" t="n"/>
      <c r="T98" s="364" t="n"/>
      <c r="U98" s="364" t="n"/>
      <c r="V98" s="364" t="n"/>
      <c r="W98" s="364" t="n"/>
      <c r="X98" s="364" t="n"/>
      <c r="Y98" s="364" t="n"/>
      <c r="Z98" s="364" t="n"/>
    </row>
    <row r="99">
      <c r="A99" s="364" t="n"/>
      <c r="B99" s="364" t="n"/>
      <c r="C99" s="364" t="n"/>
      <c r="D99" s="364" t="n"/>
      <c r="E99" s="364" t="n"/>
      <c r="F99" s="364" t="n"/>
      <c r="G99" s="364" t="n"/>
      <c r="H99" s="364" t="n"/>
      <c r="I99" s="364" t="n"/>
      <c r="J99" s="364" t="n"/>
      <c r="K99" s="364" t="n"/>
      <c r="L99" s="364" t="n"/>
      <c r="M99" s="364" t="n"/>
      <c r="N99" s="364" t="n"/>
      <c r="O99" s="364" t="n"/>
      <c r="P99" s="364" t="n"/>
      <c r="Q99" s="364" t="n"/>
      <c r="R99" s="364" t="n"/>
      <c r="S99" s="364" t="n"/>
      <c r="T99" s="364" t="n"/>
      <c r="U99" s="364" t="n"/>
      <c r="V99" s="364" t="n"/>
      <c r="W99" s="364" t="n"/>
      <c r="X99" s="364" t="n"/>
      <c r="Y99" s="364" t="n"/>
      <c r="Z99" s="364" t="n"/>
    </row>
    <row r="100">
      <c r="A100" s="364" t="n"/>
      <c r="B100" s="364" t="n"/>
      <c r="C100" s="364" t="n"/>
      <c r="D100" s="364" t="n"/>
      <c r="E100" s="364" t="n"/>
      <c r="F100" s="364" t="n"/>
      <c r="G100" s="364" t="n"/>
      <c r="H100" s="364" t="n"/>
      <c r="I100" s="364" t="n"/>
      <c r="J100" s="364" t="n"/>
      <c r="K100" s="364" t="n"/>
      <c r="L100" s="364" t="n"/>
      <c r="M100" s="364" t="n"/>
      <c r="N100" s="364" t="n"/>
      <c r="O100" s="364" t="n"/>
      <c r="P100" s="364" t="n"/>
      <c r="Q100" s="364" t="n"/>
      <c r="R100" s="364" t="n"/>
      <c r="S100" s="364" t="n"/>
      <c r="T100" s="364" t="n"/>
      <c r="U100" s="364" t="n"/>
      <c r="V100" s="364" t="n"/>
      <c r="W100" s="364" t="n"/>
      <c r="X100" s="364" t="n"/>
      <c r="Y100" s="364" t="n"/>
      <c r="Z100" s="364" t="n"/>
    </row>
  </sheetData>
  <mergeCells count="3">
    <mergeCell ref="A1:D1"/>
    <mergeCell ref="A4:D4"/>
    <mergeCell ref="A2:D2"/>
  </mergeCells>
  <pageMargins left="0.7" right="0.7" top="0.75" bottom="0.75" header="0.3" footer="0.3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00"/>
  <sheetViews>
    <sheetView showGridLines="0" workbookViewId="0">
      <selection activeCell="A1" sqref="A1"/>
    </sheetView>
  </sheetViews>
  <sheetFormatPr baseColWidth="8" defaultRowHeight="15"/>
  <cols>
    <col width="32" customWidth="1" style="34" min="1" max="1"/>
    <col width="72" customWidth="1" style="34" min="2" max="2"/>
    <col width="16" customWidth="1" style="34" min="3" max="3"/>
    <col width="72" customWidth="1" style="34" min="4" max="4"/>
  </cols>
  <sheetData>
    <row r="1" ht="19.20000076293945" customHeight="1" s="34">
      <c r="A1" s="567" t="inlineStr">
        <is>
          <t>Reality Engine Review</t>
        </is>
      </c>
      <c r="B1" s="1" t="n"/>
      <c r="C1" s="1" t="n"/>
      <c r="D1" s="1" t="n"/>
      <c r="E1" s="566" t="n"/>
      <c r="F1" s="566" t="n"/>
      <c r="G1" s="566" t="n"/>
      <c r="H1" s="566" t="n"/>
      <c r="I1" s="566" t="n"/>
      <c r="J1" s="566" t="n"/>
      <c r="K1" s="566" t="n"/>
      <c r="L1" s="566" t="n"/>
      <c r="M1" s="566" t="n"/>
      <c r="N1" s="566" t="n"/>
      <c r="O1" s="566" t="n"/>
      <c r="P1" s="566" t="n"/>
      <c r="Q1" s="566" t="n"/>
      <c r="R1" s="566" t="n"/>
      <c r="S1" s="566" t="n"/>
      <c r="T1" s="566" t="n"/>
      <c r="U1" s="566" t="n"/>
      <c r="V1" s="566" t="n"/>
      <c r="W1" s="566" t="n"/>
      <c r="X1" s="566" t="n"/>
      <c r="Y1" s="566" t="n"/>
      <c r="Z1" s="566" t="n"/>
    </row>
    <row r="2" ht="15" customHeight="1" s="34">
      <c r="A2" s="522" t="inlineStr">
        <is>
          <t>Real-world credibility checks for assumptions before sending to investors.</t>
        </is>
      </c>
      <c r="B2" s="1" t="n"/>
      <c r="C2" s="1" t="n"/>
      <c r="D2" s="1" t="n"/>
      <c r="E2" s="364" t="n"/>
      <c r="F2" s="364" t="n"/>
      <c r="G2" s="364" t="n"/>
      <c r="H2" s="364" t="n"/>
      <c r="I2" s="364" t="n"/>
      <c r="J2" s="364" t="n"/>
      <c r="K2" s="364" t="n"/>
      <c r="L2" s="364" t="n"/>
      <c r="M2" s="364" t="n"/>
      <c r="N2" s="364" t="n"/>
      <c r="O2" s="364" t="n"/>
      <c r="P2" s="364" t="n"/>
      <c r="Q2" s="364" t="n"/>
      <c r="R2" s="364" t="n"/>
      <c r="S2" s="364" t="n"/>
      <c r="T2" s="364" t="n"/>
      <c r="U2" s="364" t="n"/>
      <c r="V2" s="364" t="n"/>
      <c r="W2" s="364" t="n"/>
      <c r="X2" s="364" t="n"/>
      <c r="Y2" s="364" t="n"/>
      <c r="Z2" s="364" t="n"/>
    </row>
    <row r="3" ht="15" customHeight="1" s="34">
      <c r="A3" s="364" t="n"/>
      <c r="B3" s="364" t="n"/>
      <c r="C3" s="364" t="n"/>
      <c r="D3" s="364" t="n"/>
      <c r="E3" s="364" t="n"/>
      <c r="F3" s="364" t="n"/>
      <c r="G3" s="364" t="n"/>
      <c r="H3" s="364" t="n"/>
      <c r="I3" s="364" t="n"/>
      <c r="J3" s="364" t="n"/>
      <c r="K3" s="364" t="n"/>
      <c r="L3" s="364" t="n"/>
      <c r="M3" s="364" t="n"/>
      <c r="N3" s="364" t="n"/>
      <c r="O3" s="364" t="n"/>
      <c r="P3" s="364" t="n"/>
      <c r="Q3" s="364" t="n"/>
      <c r="R3" s="364" t="n"/>
      <c r="S3" s="364" t="n"/>
      <c r="T3" s="364" t="n"/>
      <c r="U3" s="364" t="n"/>
      <c r="V3" s="364" t="n"/>
      <c r="W3" s="364" t="n"/>
      <c r="X3" s="364" t="n"/>
      <c r="Y3" s="364" t="n"/>
      <c r="Z3" s="364" t="n"/>
    </row>
    <row r="4" ht="15" customHeight="1" s="34">
      <c r="A4" s="523" t="inlineStr">
        <is>
          <t>Reality Checks</t>
        </is>
      </c>
      <c r="B4" s="1" t="n"/>
      <c r="C4" s="1" t="n"/>
      <c r="D4" s="1" t="n"/>
      <c r="E4" s="364" t="n"/>
      <c r="F4" s="364" t="n"/>
      <c r="G4" s="364" t="n"/>
      <c r="H4" s="364" t="n"/>
      <c r="I4" s="364" t="n"/>
      <c r="J4" s="364" t="n"/>
      <c r="K4" s="364" t="n"/>
      <c r="L4" s="364" t="n"/>
      <c r="M4" s="364" t="n"/>
      <c r="N4" s="364" t="n"/>
      <c r="O4" s="364" t="n"/>
      <c r="P4" s="364" t="n"/>
      <c r="Q4" s="364" t="n"/>
      <c r="R4" s="364" t="n"/>
      <c r="S4" s="364" t="n"/>
      <c r="T4" s="364" t="n"/>
      <c r="U4" s="364" t="n"/>
      <c r="V4" s="364" t="n"/>
      <c r="W4" s="364" t="n"/>
      <c r="X4" s="364" t="n"/>
      <c r="Y4" s="364" t="n"/>
      <c r="Z4" s="364" t="n"/>
    </row>
    <row r="5" ht="15" customHeight="1" s="34">
      <c r="A5" s="503" t="inlineStr">
        <is>
          <t>Check</t>
        </is>
      </c>
      <c r="B5" s="504" t="inlineStr">
        <is>
          <t>Assessment</t>
        </is>
      </c>
      <c r="C5" s="504" t="inlineStr">
        <is>
          <t>Status</t>
        </is>
      </c>
      <c r="D5" s="505" t="inlineStr">
        <is>
          <t>Finance Comment</t>
        </is>
      </c>
      <c r="E5" s="364" t="n"/>
      <c r="F5" s="364" t="n"/>
      <c r="G5" s="364" t="n"/>
      <c r="H5" s="364" t="n"/>
      <c r="I5" s="364" t="n"/>
      <c r="J5" s="364" t="n"/>
      <c r="K5" s="364" t="n"/>
      <c r="L5" s="364" t="n"/>
      <c r="M5" s="364" t="n"/>
      <c r="N5" s="364" t="n"/>
      <c r="O5" s="364" t="n"/>
      <c r="P5" s="364" t="n"/>
      <c r="Q5" s="364" t="n"/>
      <c r="R5" s="364" t="n"/>
      <c r="S5" s="364" t="n"/>
      <c r="T5" s="364" t="n"/>
      <c r="U5" s="364" t="n"/>
      <c r="V5" s="364" t="n"/>
      <c r="W5" s="364" t="n"/>
      <c r="X5" s="364" t="n"/>
      <c r="Y5" s="364" t="n"/>
      <c r="Z5" s="364" t="n"/>
    </row>
    <row r="6" ht="48" customHeight="1" s="34">
      <c r="A6" s="506" t="inlineStr">
        <is>
          <t>Customer Segment Detection</t>
        </is>
      </c>
      <c r="B6" s="697" t="inlineStr">
        <is>
          <t>Detected customer segment: B2B / SMB Operators</t>
        </is>
      </c>
      <c r="C6" s="698" t="inlineStr">
        <is>
          <t>Green</t>
        </is>
      </c>
      <c r="D6" s="509" t="inlineStr">
        <is>
          <t>B2B economics need buyer, sales cycle, and ACV definition.</t>
        </is>
      </c>
      <c r="E6" s="364" t="n"/>
      <c r="F6" s="364" t="n"/>
      <c r="G6" s="364" t="n"/>
      <c r="H6" s="364" t="n"/>
      <c r="I6" s="364" t="n"/>
      <c r="J6" s="364" t="n"/>
      <c r="K6" s="364" t="n"/>
      <c r="L6" s="364" t="n"/>
      <c r="M6" s="364" t="n"/>
      <c r="N6" s="364" t="n"/>
      <c r="O6" s="364" t="n"/>
      <c r="P6" s="364" t="n"/>
      <c r="Q6" s="364" t="n"/>
      <c r="R6" s="364" t="n"/>
      <c r="S6" s="364" t="n"/>
      <c r="T6" s="364" t="n"/>
      <c r="U6" s="364" t="n"/>
      <c r="V6" s="364" t="n"/>
      <c r="W6" s="364" t="n"/>
      <c r="X6" s="364" t="n"/>
      <c r="Y6" s="364" t="n"/>
      <c r="Z6" s="364" t="n"/>
    </row>
    <row r="7" ht="48" customHeight="1" s="34">
      <c r="A7" s="506" t="inlineStr">
        <is>
          <t>Pricing Market Fit</t>
        </is>
      </c>
      <c r="B7" s="697" t="inlineStr">
        <is>
          <t>Price of $5.00 may be too low for a B2B operator software concept and could understate value.</t>
        </is>
      </c>
      <c r="C7" s="699" t="inlineStr">
        <is>
          <t>Yellow</t>
        </is>
      </c>
      <c r="D7" s="509" t="inlineStr">
        <is>
          <t>Clarify whether $5 is monthly, per order, per route, per location, or per transaction.</t>
        </is>
      </c>
      <c r="E7" s="364" t="n"/>
      <c r="F7" s="364" t="n"/>
      <c r="G7" s="364" t="n"/>
      <c r="H7" s="364" t="n"/>
      <c r="I7" s="364" t="n"/>
      <c r="J7" s="364" t="n"/>
      <c r="K7" s="364" t="n"/>
      <c r="L7" s="364" t="n"/>
      <c r="M7" s="364" t="n"/>
      <c r="N7" s="364" t="n"/>
      <c r="O7" s="364" t="n"/>
      <c r="P7" s="364" t="n"/>
      <c r="Q7" s="364" t="n"/>
      <c r="R7" s="364" t="n"/>
      <c r="S7" s="364" t="n"/>
      <c r="T7" s="364" t="n"/>
      <c r="U7" s="364" t="n"/>
      <c r="V7" s="364" t="n"/>
      <c r="W7" s="364" t="n"/>
      <c r="X7" s="364" t="n"/>
      <c r="Y7" s="364" t="n"/>
      <c r="Z7" s="364" t="n"/>
    </row>
    <row r="8" ht="66" customHeight="1" s="34">
      <c r="A8" s="506" t="inlineStr">
        <is>
          <t>Adoption Realism</t>
        </is>
      </c>
      <c r="B8" s="697" t="inlineStr">
        <is>
          <t>Year 1 unit target of 80,000 is aggressive for a B2B software rollout and needs support from pipeline, conversion rate, paid-location count, retention, and rollout capacity.</t>
        </is>
      </c>
      <c r="C8" s="700" t="inlineStr">
        <is>
          <t>Red</t>
        </is>
      </c>
      <c r="D8" s="509" t="inlineStr">
        <is>
          <t>Replace top-down unit volume with bottom-up funnel logic.</t>
        </is>
      </c>
      <c r="E8" s="364" t="n"/>
      <c r="F8" s="364" t="n"/>
      <c r="G8" s="364" t="n"/>
      <c r="H8" s="364" t="n"/>
      <c r="I8" s="364" t="n"/>
      <c r="J8" s="364" t="n"/>
      <c r="K8" s="364" t="n"/>
      <c r="L8" s="364" t="n"/>
      <c r="M8" s="364" t="n"/>
      <c r="N8" s="364" t="n"/>
      <c r="O8" s="364" t="n"/>
      <c r="P8" s="364" t="n"/>
      <c r="Q8" s="364" t="n"/>
      <c r="R8" s="364" t="n"/>
      <c r="S8" s="364" t="n"/>
      <c r="T8" s="364" t="n"/>
      <c r="U8" s="364" t="n"/>
      <c r="V8" s="364" t="n"/>
      <c r="W8" s="364" t="n"/>
      <c r="X8" s="364" t="n"/>
      <c r="Y8" s="364" t="n"/>
      <c r="Z8" s="364" t="n"/>
    </row>
    <row r="9" ht="48" customHeight="1" s="34">
      <c r="A9" s="506" t="inlineStr">
        <is>
          <t>Growth Realism</t>
        </is>
      </c>
      <c r="B9" s="697" t="inlineStr">
        <is>
          <t>Growth path is within the selected operating-model benchmark ranges.</t>
        </is>
      </c>
      <c r="C9" s="698" t="inlineStr">
        <is>
          <t>Green</t>
        </is>
      </c>
      <c r="D9" s="509" t="inlineStr">
        <is>
          <t>Tie growth to GTM capacity and customer retention assumptions.</t>
        </is>
      </c>
      <c r="E9" s="364" t="n"/>
      <c r="F9" s="364" t="n"/>
      <c r="G9" s="364" t="n"/>
      <c r="H9" s="364" t="n"/>
      <c r="I9" s="364" t="n"/>
      <c r="J9" s="364" t="n"/>
      <c r="K9" s="364" t="n"/>
      <c r="L9" s="364" t="n"/>
      <c r="M9" s="364" t="n"/>
      <c r="N9" s="364" t="n"/>
      <c r="O9" s="364" t="n"/>
      <c r="P9" s="364" t="n"/>
      <c r="Q9" s="364" t="n"/>
      <c r="R9" s="364" t="n"/>
      <c r="S9" s="364" t="n"/>
      <c r="T9" s="364" t="n"/>
      <c r="U9" s="364" t="n"/>
      <c r="V9" s="364" t="n"/>
      <c r="W9" s="364" t="n"/>
      <c r="X9" s="364" t="n"/>
      <c r="Y9" s="364" t="n"/>
      <c r="Z9" s="364" t="n"/>
    </row>
    <row r="10" ht="66" customHeight="1" s="34">
      <c r="A10" s="506" t="inlineStr">
        <is>
          <t>Operating Model Reality</t>
        </is>
      </c>
      <c r="B10" s="697" t="inlineStr">
        <is>
          <t>Total OpEx is 100% of Year 1 revenue (including $300,000 fixed overhead), above the Vertical SaaS / AI Software benchmark range.</t>
        </is>
      </c>
      <c r="C10" s="701" t="inlineStr">
        <is>
          <t>Orange</t>
        </is>
      </c>
      <c r="D10" s="509" t="inlineStr">
        <is>
          <t>Add department-level OpEx build.</t>
        </is>
      </c>
      <c r="E10" s="364" t="n"/>
      <c r="F10" s="364" t="n"/>
      <c r="G10" s="364" t="n"/>
      <c r="H10" s="364" t="n"/>
      <c r="I10" s="364" t="n"/>
      <c r="J10" s="364" t="n"/>
      <c r="K10" s="364" t="n"/>
      <c r="L10" s="364" t="n"/>
      <c r="M10" s="364" t="n"/>
      <c r="N10" s="364" t="n"/>
      <c r="O10" s="364" t="n"/>
      <c r="P10" s="364" t="n"/>
      <c r="Q10" s="364" t="n"/>
      <c r="R10" s="364" t="n"/>
      <c r="S10" s="364" t="n"/>
      <c r="T10" s="364" t="n"/>
      <c r="U10" s="364" t="n"/>
      <c r="V10" s="364" t="n"/>
      <c r="W10" s="364" t="n"/>
      <c r="X10" s="364" t="n"/>
      <c r="Y10" s="364" t="n"/>
      <c r="Z10" s="364" t="n"/>
    </row>
    <row r="11" ht="48" customHeight="1" s="34">
      <c r="A11" s="506" t="inlineStr">
        <is>
          <t>Financial Assumption Reality</t>
        </is>
      </c>
      <c r="B11" s="697" t="inlineStr">
        <is>
          <t>Gross margin is 76.0% and ending cash does not show an obvious funding gap.</t>
        </is>
      </c>
      <c r="C11" s="698" t="inlineStr">
        <is>
          <t>Green</t>
        </is>
      </c>
      <c r="D11" s="509" t="inlineStr">
        <is>
          <t>Add direct support, infrastructure, and delivery-related costs.</t>
        </is>
      </c>
      <c r="E11" s="364" t="n"/>
      <c r="F11" s="364" t="n"/>
      <c r="G11" s="364" t="n"/>
      <c r="H11" s="364" t="n"/>
      <c r="I11" s="364" t="n"/>
      <c r="J11" s="364" t="n"/>
      <c r="K11" s="364" t="n"/>
      <c r="L11" s="364" t="n"/>
      <c r="M11" s="364" t="n"/>
      <c r="N11" s="364" t="n"/>
      <c r="O11" s="364" t="n"/>
      <c r="P11" s="364" t="n"/>
      <c r="Q11" s="364" t="n"/>
      <c r="R11" s="364" t="n"/>
      <c r="S11" s="364" t="n"/>
      <c r="T11" s="364" t="n"/>
      <c r="U11" s="364" t="n"/>
      <c r="V11" s="364" t="n"/>
      <c r="W11" s="364" t="n"/>
      <c r="X11" s="364" t="n"/>
      <c r="Y11" s="364" t="n"/>
      <c r="Z11" s="364" t="n"/>
    </row>
    <row r="12" ht="48" customHeight="1" s="34">
      <c r="A12" s="513" t="inlineStr">
        <is>
          <t>Overall</t>
        </is>
      </c>
      <c r="B12" s="702" t="inlineStr">
        <is>
          <t>Reality Engine sees some real-world issues that may weaken investor credibility.</t>
        </is>
      </c>
      <c r="C12" s="703" t="inlineStr">
        <is>
          <t>Yellow</t>
        </is>
      </c>
      <c r="D12" s="517" t="inlineStr">
        <is>
          <t>Investors will focus on unit definition, margin quality, and demand proof.</t>
        </is>
      </c>
      <c r="E12" s="364" t="n"/>
      <c r="F12" s="364" t="n"/>
      <c r="G12" s="364" t="n"/>
      <c r="H12" s="364" t="n"/>
      <c r="I12" s="364" t="n"/>
      <c r="J12" s="364" t="n"/>
      <c r="K12" s="364" t="n"/>
      <c r="L12" s="364" t="n"/>
      <c r="M12" s="364" t="n"/>
      <c r="N12" s="364" t="n"/>
      <c r="O12" s="364" t="n"/>
      <c r="P12" s="364" t="n"/>
      <c r="Q12" s="364" t="n"/>
      <c r="R12" s="364" t="n"/>
      <c r="S12" s="364" t="n"/>
      <c r="T12" s="364" t="n"/>
      <c r="U12" s="364" t="n"/>
      <c r="V12" s="364" t="n"/>
      <c r="W12" s="364" t="n"/>
      <c r="X12" s="364" t="n"/>
      <c r="Y12" s="364" t="n"/>
      <c r="Z12" s="364" t="n"/>
    </row>
    <row r="13" ht="15" customHeight="1" s="34">
      <c r="A13" s="364" t="n"/>
      <c r="B13" s="364" t="n"/>
      <c r="C13" s="364" t="n"/>
      <c r="D13" s="364" t="n"/>
      <c r="E13" s="364" t="n"/>
      <c r="F13" s="364" t="n"/>
      <c r="G13" s="364" t="n"/>
      <c r="H13" s="364" t="n"/>
      <c r="I13" s="364" t="n"/>
      <c r="J13" s="364" t="n"/>
      <c r="K13" s="364" t="n"/>
      <c r="L13" s="364" t="n"/>
      <c r="M13" s="364" t="n"/>
      <c r="N13" s="364" t="n"/>
      <c r="O13" s="364" t="n"/>
      <c r="P13" s="364" t="n"/>
      <c r="Q13" s="364" t="n"/>
      <c r="R13" s="364" t="n"/>
      <c r="S13" s="364" t="n"/>
      <c r="T13" s="364" t="n"/>
      <c r="U13" s="364" t="n"/>
      <c r="V13" s="364" t="n"/>
      <c r="W13" s="364" t="n"/>
      <c r="X13" s="364" t="n"/>
      <c r="Y13" s="364" t="n"/>
      <c r="Z13" s="364" t="n"/>
    </row>
    <row r="14" ht="15" customHeight="1" s="34">
      <c r="A14" s="364" t="n"/>
      <c r="B14" s="364" t="n"/>
      <c r="C14" s="364" t="n"/>
      <c r="D14" s="364" t="n"/>
      <c r="E14" s="364" t="n"/>
      <c r="F14" s="364" t="n"/>
      <c r="G14" s="364" t="n"/>
      <c r="H14" s="364" t="n"/>
      <c r="I14" s="364" t="n"/>
      <c r="J14" s="364" t="n"/>
      <c r="K14" s="364" t="n"/>
      <c r="L14" s="364" t="n"/>
      <c r="M14" s="364" t="n"/>
      <c r="N14" s="364" t="n"/>
      <c r="O14" s="364" t="n"/>
      <c r="P14" s="364" t="n"/>
      <c r="Q14" s="364" t="n"/>
      <c r="R14" s="364" t="n"/>
      <c r="S14" s="364" t="n"/>
      <c r="T14" s="364" t="n"/>
      <c r="U14" s="364" t="n"/>
      <c r="V14" s="364" t="n"/>
      <c r="W14" s="364" t="n"/>
      <c r="X14" s="364" t="n"/>
      <c r="Y14" s="364" t="n"/>
      <c r="Z14" s="364" t="n"/>
    </row>
    <row r="15" ht="15" customHeight="1" s="34">
      <c r="A15" s="364" t="n"/>
      <c r="B15" s="364" t="n"/>
      <c r="C15" s="364" t="n"/>
      <c r="D15" s="364" t="n"/>
      <c r="E15" s="364" t="n"/>
      <c r="F15" s="364" t="n"/>
      <c r="G15" s="364" t="n"/>
      <c r="H15" s="364" t="n"/>
      <c r="I15" s="364" t="n"/>
      <c r="J15" s="364" t="n"/>
      <c r="K15" s="364" t="n"/>
      <c r="L15" s="364" t="n"/>
      <c r="M15" s="364" t="n"/>
      <c r="N15" s="364" t="n"/>
      <c r="O15" s="364" t="n"/>
      <c r="P15" s="364" t="n"/>
      <c r="Q15" s="364" t="n"/>
      <c r="R15" s="364" t="n"/>
      <c r="S15" s="364" t="n"/>
      <c r="T15" s="364" t="n"/>
      <c r="U15" s="364" t="n"/>
      <c r="V15" s="364" t="n"/>
      <c r="W15" s="364" t="n"/>
      <c r="X15" s="364" t="n"/>
      <c r="Y15" s="364" t="n"/>
      <c r="Z15" s="364" t="n"/>
    </row>
    <row r="16" ht="15" customHeight="1" s="34">
      <c r="A16" s="364" t="n"/>
      <c r="B16" s="364" t="n"/>
      <c r="C16" s="364" t="n"/>
      <c r="D16" s="364" t="n"/>
      <c r="E16" s="364" t="n"/>
      <c r="F16" s="364" t="n"/>
      <c r="G16" s="364" t="n"/>
      <c r="H16" s="364" t="n"/>
      <c r="I16" s="364" t="n"/>
      <c r="J16" s="364" t="n"/>
      <c r="K16" s="364" t="n"/>
      <c r="L16" s="364" t="n"/>
      <c r="M16" s="364" t="n"/>
      <c r="N16" s="364" t="n"/>
      <c r="O16" s="364" t="n"/>
      <c r="P16" s="364" t="n"/>
      <c r="Q16" s="364" t="n"/>
      <c r="R16" s="364" t="n"/>
      <c r="S16" s="364" t="n"/>
      <c r="T16" s="364" t="n"/>
      <c r="U16" s="364" t="n"/>
      <c r="V16" s="364" t="n"/>
      <c r="W16" s="364" t="n"/>
      <c r="X16" s="364" t="n"/>
      <c r="Y16" s="364" t="n"/>
      <c r="Z16" s="364" t="n"/>
    </row>
    <row r="17" ht="15" customHeight="1" s="34">
      <c r="A17" s="364" t="n"/>
      <c r="B17" s="364" t="n"/>
      <c r="C17" s="364" t="n"/>
      <c r="D17" s="364" t="n"/>
      <c r="E17" s="364" t="n"/>
      <c r="F17" s="364" t="n"/>
      <c r="G17" s="364" t="n"/>
      <c r="H17" s="364" t="n"/>
      <c r="I17" s="364" t="n"/>
      <c r="J17" s="364" t="n"/>
      <c r="K17" s="364" t="n"/>
      <c r="L17" s="364" t="n"/>
      <c r="M17" s="364" t="n"/>
      <c r="N17" s="364" t="n"/>
      <c r="O17" s="364" t="n"/>
      <c r="P17" s="364" t="n"/>
      <c r="Q17" s="364" t="n"/>
      <c r="R17" s="364" t="n"/>
      <c r="S17" s="364" t="n"/>
      <c r="T17" s="364" t="n"/>
      <c r="U17" s="364" t="n"/>
      <c r="V17" s="364" t="n"/>
      <c r="W17" s="364" t="n"/>
      <c r="X17" s="364" t="n"/>
      <c r="Y17" s="364" t="n"/>
      <c r="Z17" s="364" t="n"/>
    </row>
    <row r="18" ht="15" customHeight="1" s="34">
      <c r="A18" s="364" t="n"/>
      <c r="B18" s="364" t="n"/>
      <c r="C18" s="364" t="n"/>
      <c r="D18" s="364" t="n"/>
      <c r="E18" s="364" t="n"/>
      <c r="F18" s="364" t="n"/>
      <c r="G18" s="364" t="n"/>
      <c r="H18" s="364" t="n"/>
      <c r="I18" s="364" t="n"/>
      <c r="J18" s="364" t="n"/>
      <c r="K18" s="364" t="n"/>
      <c r="L18" s="364" t="n"/>
      <c r="M18" s="364" t="n"/>
      <c r="N18" s="364" t="n"/>
      <c r="O18" s="364" t="n"/>
      <c r="P18" s="364" t="n"/>
      <c r="Q18" s="364" t="n"/>
      <c r="R18" s="364" t="n"/>
      <c r="S18" s="364" t="n"/>
      <c r="T18" s="364" t="n"/>
      <c r="U18" s="364" t="n"/>
      <c r="V18" s="364" t="n"/>
      <c r="W18" s="364" t="n"/>
      <c r="X18" s="364" t="n"/>
      <c r="Y18" s="364" t="n"/>
      <c r="Z18" s="364" t="n"/>
    </row>
    <row r="19" ht="15" customHeight="1" s="34">
      <c r="A19" s="364" t="n"/>
      <c r="B19" s="364" t="n"/>
      <c r="C19" s="364" t="n"/>
      <c r="D19" s="364" t="n"/>
      <c r="E19" s="364" t="n"/>
      <c r="F19" s="364" t="n"/>
      <c r="G19" s="364" t="n"/>
      <c r="H19" s="364" t="n"/>
      <c r="I19" s="364" t="n"/>
      <c r="J19" s="364" t="n"/>
      <c r="K19" s="364" t="n"/>
      <c r="L19" s="364" t="n"/>
      <c r="M19" s="364" t="n"/>
      <c r="N19" s="364" t="n"/>
      <c r="O19" s="364" t="n"/>
      <c r="P19" s="364" t="n"/>
      <c r="Q19" s="364" t="n"/>
      <c r="R19" s="364" t="n"/>
      <c r="S19" s="364" t="n"/>
      <c r="T19" s="364" t="n"/>
      <c r="U19" s="364" t="n"/>
      <c r="V19" s="364" t="n"/>
      <c r="W19" s="364" t="n"/>
      <c r="X19" s="364" t="n"/>
      <c r="Y19" s="364" t="n"/>
      <c r="Z19" s="364" t="n"/>
    </row>
    <row r="20" ht="15" customHeight="1" s="34">
      <c r="A20" s="364" t="n"/>
      <c r="B20" s="364" t="n"/>
      <c r="C20" s="364" t="n"/>
      <c r="D20" s="364" t="n"/>
      <c r="E20" s="364" t="n"/>
      <c r="F20" s="364" t="n"/>
      <c r="G20" s="364" t="n"/>
      <c r="H20" s="364" t="n"/>
      <c r="I20" s="364" t="n"/>
      <c r="J20" s="364" t="n"/>
      <c r="K20" s="364" t="n"/>
      <c r="L20" s="364" t="n"/>
      <c r="M20" s="364" t="n"/>
      <c r="N20" s="364" t="n"/>
      <c r="O20" s="364" t="n"/>
      <c r="P20" s="364" t="n"/>
      <c r="Q20" s="364" t="n"/>
      <c r="R20" s="364" t="n"/>
      <c r="S20" s="364" t="n"/>
      <c r="T20" s="364" t="n"/>
      <c r="U20" s="364" t="n"/>
      <c r="V20" s="364" t="n"/>
      <c r="W20" s="364" t="n"/>
      <c r="X20" s="364" t="n"/>
      <c r="Y20" s="364" t="n"/>
      <c r="Z20" s="364" t="n"/>
    </row>
    <row r="21" ht="15" customHeight="1" s="34">
      <c r="A21" s="364" t="n"/>
      <c r="B21" s="364" t="n"/>
      <c r="C21" s="364" t="n"/>
      <c r="D21" s="364" t="n"/>
      <c r="E21" s="364" t="n"/>
      <c r="F21" s="364" t="n"/>
      <c r="G21" s="364" t="n"/>
      <c r="H21" s="364" t="n"/>
      <c r="I21" s="364" t="n"/>
      <c r="J21" s="364" t="n"/>
      <c r="K21" s="364" t="n"/>
      <c r="L21" s="364" t="n"/>
      <c r="M21" s="364" t="n"/>
      <c r="N21" s="364" t="n"/>
      <c r="O21" s="364" t="n"/>
      <c r="P21" s="364" t="n"/>
      <c r="Q21" s="364" t="n"/>
      <c r="R21" s="364" t="n"/>
      <c r="S21" s="364" t="n"/>
      <c r="T21" s="364" t="n"/>
      <c r="U21" s="364" t="n"/>
      <c r="V21" s="364" t="n"/>
      <c r="W21" s="364" t="n"/>
      <c r="X21" s="364" t="n"/>
      <c r="Y21" s="364" t="n"/>
      <c r="Z21" s="364" t="n"/>
    </row>
    <row r="22" ht="15" customHeight="1" s="34">
      <c r="A22" s="364" t="n"/>
      <c r="B22" s="364" t="n"/>
      <c r="C22" s="364" t="n"/>
      <c r="D22" s="364" t="n"/>
      <c r="E22" s="364" t="n"/>
      <c r="F22" s="364" t="n"/>
      <c r="G22" s="364" t="n"/>
      <c r="H22" s="364" t="n"/>
      <c r="I22" s="364" t="n"/>
      <c r="J22" s="364" t="n"/>
      <c r="K22" s="364" t="n"/>
      <c r="L22" s="364" t="n"/>
      <c r="M22" s="364" t="n"/>
      <c r="N22" s="364" t="n"/>
      <c r="O22" s="364" t="n"/>
      <c r="P22" s="364" t="n"/>
      <c r="Q22" s="364" t="n"/>
      <c r="R22" s="364" t="n"/>
      <c r="S22" s="364" t="n"/>
      <c r="T22" s="364" t="n"/>
      <c r="U22" s="364" t="n"/>
      <c r="V22" s="364" t="n"/>
      <c r="W22" s="364" t="n"/>
      <c r="X22" s="364" t="n"/>
      <c r="Y22" s="364" t="n"/>
      <c r="Z22" s="364" t="n"/>
    </row>
    <row r="23" ht="15" customHeight="1" s="34">
      <c r="A23" s="364" t="n"/>
      <c r="B23" s="364" t="n"/>
      <c r="C23" s="364" t="n"/>
      <c r="D23" s="364" t="n"/>
      <c r="E23" s="364" t="n"/>
      <c r="F23" s="364" t="n"/>
      <c r="G23" s="364" t="n"/>
      <c r="H23" s="364" t="n"/>
      <c r="I23" s="364" t="n"/>
      <c r="J23" s="364" t="n"/>
      <c r="K23" s="364" t="n"/>
      <c r="L23" s="364" t="n"/>
      <c r="M23" s="364" t="n"/>
      <c r="N23" s="364" t="n"/>
      <c r="O23" s="364" t="n"/>
      <c r="P23" s="364" t="n"/>
      <c r="Q23" s="364" t="n"/>
      <c r="R23" s="364" t="n"/>
      <c r="S23" s="364" t="n"/>
      <c r="T23" s="364" t="n"/>
      <c r="U23" s="364" t="n"/>
      <c r="V23" s="364" t="n"/>
      <c r="W23" s="364" t="n"/>
      <c r="X23" s="364" t="n"/>
      <c r="Y23" s="364" t="n"/>
      <c r="Z23" s="364" t="n"/>
    </row>
    <row r="24" ht="15" customHeight="1" s="34">
      <c r="A24" s="364" t="n"/>
      <c r="B24" s="364" t="n"/>
      <c r="C24" s="364" t="n"/>
      <c r="D24" s="364" t="n"/>
      <c r="E24" s="364" t="n"/>
      <c r="F24" s="364" t="n"/>
      <c r="G24" s="364" t="n"/>
      <c r="H24" s="364" t="n"/>
      <c r="I24" s="364" t="n"/>
      <c r="J24" s="364" t="n"/>
      <c r="K24" s="364" t="n"/>
      <c r="L24" s="364" t="n"/>
      <c r="M24" s="364" t="n"/>
      <c r="N24" s="364" t="n"/>
      <c r="O24" s="364" t="n"/>
      <c r="P24" s="364" t="n"/>
      <c r="Q24" s="364" t="n"/>
      <c r="R24" s="364" t="n"/>
      <c r="S24" s="364" t="n"/>
      <c r="T24" s="364" t="n"/>
      <c r="U24" s="364" t="n"/>
      <c r="V24" s="364" t="n"/>
      <c r="W24" s="364" t="n"/>
      <c r="X24" s="364" t="n"/>
      <c r="Y24" s="364" t="n"/>
      <c r="Z24" s="364" t="n"/>
    </row>
    <row r="25" ht="15" customHeight="1" s="34">
      <c r="A25" s="364" t="n"/>
      <c r="B25" s="364" t="n"/>
      <c r="C25" s="364" t="n"/>
      <c r="D25" s="364" t="n"/>
      <c r="E25" s="364" t="n"/>
      <c r="F25" s="364" t="n"/>
      <c r="G25" s="364" t="n"/>
      <c r="H25" s="364" t="n"/>
      <c r="I25" s="364" t="n"/>
      <c r="J25" s="364" t="n"/>
      <c r="K25" s="364" t="n"/>
      <c r="L25" s="364" t="n"/>
      <c r="M25" s="364" t="n"/>
      <c r="N25" s="364" t="n"/>
      <c r="O25" s="364" t="n"/>
      <c r="P25" s="364" t="n"/>
      <c r="Q25" s="364" t="n"/>
      <c r="R25" s="364" t="n"/>
      <c r="S25" s="364" t="n"/>
      <c r="T25" s="364" t="n"/>
      <c r="U25" s="364" t="n"/>
      <c r="V25" s="364" t="n"/>
      <c r="W25" s="364" t="n"/>
      <c r="X25" s="364" t="n"/>
      <c r="Y25" s="364" t="n"/>
      <c r="Z25" s="364" t="n"/>
    </row>
    <row r="26" ht="15" customHeight="1" s="34">
      <c r="A26" s="364" t="n"/>
      <c r="B26" s="364" t="n"/>
      <c r="C26" s="364" t="n"/>
      <c r="D26" s="364" t="n"/>
      <c r="E26" s="364" t="n"/>
      <c r="F26" s="364" t="n"/>
      <c r="G26" s="364" t="n"/>
      <c r="H26" s="364" t="n"/>
      <c r="I26" s="364" t="n"/>
      <c r="J26" s="364" t="n"/>
      <c r="K26" s="364" t="n"/>
      <c r="L26" s="364" t="n"/>
      <c r="M26" s="364" t="n"/>
      <c r="N26" s="364" t="n"/>
      <c r="O26" s="364" t="n"/>
      <c r="P26" s="364" t="n"/>
      <c r="Q26" s="364" t="n"/>
      <c r="R26" s="364" t="n"/>
      <c r="S26" s="364" t="n"/>
      <c r="T26" s="364" t="n"/>
      <c r="U26" s="364" t="n"/>
      <c r="V26" s="364" t="n"/>
      <c r="W26" s="364" t="n"/>
      <c r="X26" s="364" t="n"/>
      <c r="Y26" s="364" t="n"/>
      <c r="Z26" s="364" t="n"/>
    </row>
    <row r="27" ht="15" customHeight="1" s="34">
      <c r="A27" s="364" t="n"/>
      <c r="B27" s="364" t="n"/>
      <c r="C27" s="364" t="n"/>
      <c r="D27" s="364" t="n"/>
      <c r="E27" s="364" t="n"/>
      <c r="F27" s="364" t="n"/>
      <c r="G27" s="364" t="n"/>
      <c r="H27" s="364" t="n"/>
      <c r="I27" s="364" t="n"/>
      <c r="J27" s="364" t="n"/>
      <c r="K27" s="364" t="n"/>
      <c r="L27" s="364" t="n"/>
      <c r="M27" s="364" t="n"/>
      <c r="N27" s="364" t="n"/>
      <c r="O27" s="364" t="n"/>
      <c r="P27" s="364" t="n"/>
      <c r="Q27" s="364" t="n"/>
      <c r="R27" s="364" t="n"/>
      <c r="S27" s="364" t="n"/>
      <c r="T27" s="364" t="n"/>
      <c r="U27" s="364" t="n"/>
      <c r="V27" s="364" t="n"/>
      <c r="W27" s="364" t="n"/>
      <c r="X27" s="364" t="n"/>
      <c r="Y27" s="364" t="n"/>
      <c r="Z27" s="364" t="n"/>
    </row>
    <row r="28" ht="15" customHeight="1" s="34">
      <c r="A28" s="364" t="n"/>
      <c r="B28" s="364" t="n"/>
      <c r="C28" s="364" t="n"/>
      <c r="D28" s="364" t="n"/>
      <c r="E28" s="364" t="n"/>
      <c r="F28" s="364" t="n"/>
      <c r="G28" s="364" t="n"/>
      <c r="H28" s="364" t="n"/>
      <c r="I28" s="364" t="n"/>
      <c r="J28" s="364" t="n"/>
      <c r="K28" s="364" t="n"/>
      <c r="L28" s="364" t="n"/>
      <c r="M28" s="364" t="n"/>
      <c r="N28" s="364" t="n"/>
      <c r="O28" s="364" t="n"/>
      <c r="P28" s="364" t="n"/>
      <c r="Q28" s="364" t="n"/>
      <c r="R28" s="364" t="n"/>
      <c r="S28" s="364" t="n"/>
      <c r="T28" s="364" t="n"/>
      <c r="U28" s="364" t="n"/>
      <c r="V28" s="364" t="n"/>
      <c r="W28" s="364" t="n"/>
      <c r="X28" s="364" t="n"/>
      <c r="Y28" s="364" t="n"/>
      <c r="Z28" s="364" t="n"/>
    </row>
    <row r="29" ht="15" customHeight="1" s="34">
      <c r="A29" s="364" t="n"/>
      <c r="B29" s="364" t="n"/>
      <c r="C29" s="364" t="n"/>
      <c r="D29" s="364" t="n"/>
      <c r="E29" s="364" t="n"/>
      <c r="F29" s="364" t="n"/>
      <c r="G29" s="364" t="n"/>
      <c r="H29" s="364" t="n"/>
      <c r="I29" s="364" t="n"/>
      <c r="J29" s="364" t="n"/>
      <c r="K29" s="364" t="n"/>
      <c r="L29" s="364" t="n"/>
      <c r="M29" s="364" t="n"/>
      <c r="N29" s="364" t="n"/>
      <c r="O29" s="364" t="n"/>
      <c r="P29" s="364" t="n"/>
      <c r="Q29" s="364" t="n"/>
      <c r="R29" s="364" t="n"/>
      <c r="S29" s="364" t="n"/>
      <c r="T29" s="364" t="n"/>
      <c r="U29" s="364" t="n"/>
      <c r="V29" s="364" t="n"/>
      <c r="W29" s="364" t="n"/>
      <c r="X29" s="364" t="n"/>
      <c r="Y29" s="364" t="n"/>
      <c r="Z29" s="364" t="n"/>
    </row>
    <row r="30" ht="15" customHeight="1" s="34">
      <c r="A30" s="364" t="n"/>
      <c r="B30" s="364" t="n"/>
      <c r="C30" s="364" t="n"/>
      <c r="D30" s="364" t="n"/>
      <c r="E30" s="364" t="n"/>
      <c r="F30" s="364" t="n"/>
      <c r="G30" s="364" t="n"/>
      <c r="H30" s="364" t="n"/>
      <c r="I30" s="364" t="n"/>
      <c r="J30" s="364" t="n"/>
      <c r="K30" s="364" t="n"/>
      <c r="L30" s="364" t="n"/>
      <c r="M30" s="364" t="n"/>
      <c r="N30" s="364" t="n"/>
      <c r="O30" s="364" t="n"/>
      <c r="P30" s="364" t="n"/>
      <c r="Q30" s="364" t="n"/>
      <c r="R30" s="364" t="n"/>
      <c r="S30" s="364" t="n"/>
      <c r="T30" s="364" t="n"/>
      <c r="U30" s="364" t="n"/>
      <c r="V30" s="364" t="n"/>
      <c r="W30" s="364" t="n"/>
      <c r="X30" s="364" t="n"/>
      <c r="Y30" s="364" t="n"/>
      <c r="Z30" s="364" t="n"/>
    </row>
    <row r="31" ht="15" customHeight="1" s="34">
      <c r="A31" s="364" t="n"/>
      <c r="B31" s="364" t="n"/>
      <c r="C31" s="364" t="n"/>
      <c r="D31" s="364" t="n"/>
      <c r="E31" s="364" t="n"/>
      <c r="F31" s="364" t="n"/>
      <c r="G31" s="364" t="n"/>
      <c r="H31" s="364" t="n"/>
      <c r="I31" s="364" t="n"/>
      <c r="J31" s="364" t="n"/>
      <c r="K31" s="364" t="n"/>
      <c r="L31" s="364" t="n"/>
      <c r="M31" s="364" t="n"/>
      <c r="N31" s="364" t="n"/>
      <c r="O31" s="364" t="n"/>
      <c r="P31" s="364" t="n"/>
      <c r="Q31" s="364" t="n"/>
      <c r="R31" s="364" t="n"/>
      <c r="S31" s="364" t="n"/>
      <c r="T31" s="364" t="n"/>
      <c r="U31" s="364" t="n"/>
      <c r="V31" s="364" t="n"/>
      <c r="W31" s="364" t="n"/>
      <c r="X31" s="364" t="n"/>
      <c r="Y31" s="364" t="n"/>
      <c r="Z31" s="364" t="n"/>
    </row>
    <row r="32" ht="15" customHeight="1" s="34">
      <c r="A32" s="364" t="n"/>
      <c r="B32" s="364" t="n"/>
      <c r="C32" s="364" t="n"/>
      <c r="D32" s="364" t="n"/>
      <c r="E32" s="364" t="n"/>
      <c r="F32" s="364" t="n"/>
      <c r="G32" s="364" t="n"/>
      <c r="H32" s="364" t="n"/>
      <c r="I32" s="364" t="n"/>
      <c r="J32" s="364" t="n"/>
      <c r="K32" s="364" t="n"/>
      <c r="L32" s="364" t="n"/>
      <c r="M32" s="364" t="n"/>
      <c r="N32" s="364" t="n"/>
      <c r="O32" s="364" t="n"/>
      <c r="P32" s="364" t="n"/>
      <c r="Q32" s="364" t="n"/>
      <c r="R32" s="364" t="n"/>
      <c r="S32" s="364" t="n"/>
      <c r="T32" s="364" t="n"/>
      <c r="U32" s="364" t="n"/>
      <c r="V32" s="364" t="n"/>
      <c r="W32" s="364" t="n"/>
      <c r="X32" s="364" t="n"/>
      <c r="Y32" s="364" t="n"/>
      <c r="Z32" s="364" t="n"/>
    </row>
    <row r="33" ht="15" customHeight="1" s="34">
      <c r="A33" s="364" t="n"/>
      <c r="B33" s="364" t="n"/>
      <c r="C33" s="364" t="n"/>
      <c r="D33" s="364" t="n"/>
      <c r="E33" s="364" t="n"/>
      <c r="F33" s="364" t="n"/>
      <c r="G33" s="364" t="n"/>
      <c r="H33" s="364" t="n"/>
      <c r="I33" s="364" t="n"/>
      <c r="J33" s="364" t="n"/>
      <c r="K33" s="364" t="n"/>
      <c r="L33" s="364" t="n"/>
      <c r="M33" s="364" t="n"/>
      <c r="N33" s="364" t="n"/>
      <c r="O33" s="364" t="n"/>
      <c r="P33" s="364" t="n"/>
      <c r="Q33" s="364" t="n"/>
      <c r="R33" s="364" t="n"/>
      <c r="S33" s="364" t="n"/>
      <c r="T33" s="364" t="n"/>
      <c r="U33" s="364" t="n"/>
      <c r="V33" s="364" t="n"/>
      <c r="W33" s="364" t="n"/>
      <c r="X33" s="364" t="n"/>
      <c r="Y33" s="364" t="n"/>
      <c r="Z33" s="364" t="n"/>
    </row>
    <row r="34" ht="15" customHeight="1" s="34">
      <c r="A34" s="364" t="n"/>
      <c r="B34" s="364" t="n"/>
      <c r="C34" s="364" t="n"/>
      <c r="D34" s="364" t="n"/>
      <c r="E34" s="364" t="n"/>
      <c r="F34" s="364" t="n"/>
      <c r="G34" s="364" t="n"/>
      <c r="H34" s="364" t="n"/>
      <c r="I34" s="364" t="n"/>
      <c r="J34" s="364" t="n"/>
      <c r="K34" s="364" t="n"/>
      <c r="L34" s="364" t="n"/>
      <c r="M34" s="364" t="n"/>
      <c r="N34" s="364" t="n"/>
      <c r="O34" s="364" t="n"/>
      <c r="P34" s="364" t="n"/>
      <c r="Q34" s="364" t="n"/>
      <c r="R34" s="364" t="n"/>
      <c r="S34" s="364" t="n"/>
      <c r="T34" s="364" t="n"/>
      <c r="U34" s="364" t="n"/>
      <c r="V34" s="364" t="n"/>
      <c r="W34" s="364" t="n"/>
      <c r="X34" s="364" t="n"/>
      <c r="Y34" s="364" t="n"/>
      <c r="Z34" s="364" t="n"/>
    </row>
    <row r="35" ht="15" customHeight="1" s="34">
      <c r="A35" s="364" t="n"/>
      <c r="B35" s="364" t="n"/>
      <c r="C35" s="364" t="n"/>
      <c r="D35" s="364" t="n"/>
      <c r="E35" s="364" t="n"/>
      <c r="F35" s="364" t="n"/>
      <c r="G35" s="364" t="n"/>
      <c r="H35" s="364" t="n"/>
      <c r="I35" s="364" t="n"/>
      <c r="J35" s="364" t="n"/>
      <c r="K35" s="364" t="n"/>
      <c r="L35" s="364" t="n"/>
      <c r="M35" s="364" t="n"/>
      <c r="N35" s="364" t="n"/>
      <c r="O35" s="364" t="n"/>
      <c r="P35" s="364" t="n"/>
      <c r="Q35" s="364" t="n"/>
      <c r="R35" s="364" t="n"/>
      <c r="S35" s="364" t="n"/>
      <c r="T35" s="364" t="n"/>
      <c r="U35" s="364" t="n"/>
      <c r="V35" s="364" t="n"/>
      <c r="W35" s="364" t="n"/>
      <c r="X35" s="364" t="n"/>
      <c r="Y35" s="364" t="n"/>
      <c r="Z35" s="364" t="n"/>
    </row>
    <row r="36" ht="15" customHeight="1" s="34">
      <c r="A36" s="364" t="n"/>
      <c r="B36" s="364" t="n"/>
      <c r="C36" s="364" t="n"/>
      <c r="D36" s="364" t="n"/>
      <c r="E36" s="364" t="n"/>
      <c r="F36" s="364" t="n"/>
      <c r="G36" s="364" t="n"/>
      <c r="H36" s="364" t="n"/>
      <c r="I36" s="364" t="n"/>
      <c r="J36" s="364" t="n"/>
      <c r="K36" s="364" t="n"/>
      <c r="L36" s="364" t="n"/>
      <c r="M36" s="364" t="n"/>
      <c r="N36" s="364" t="n"/>
      <c r="O36" s="364" t="n"/>
      <c r="P36" s="364" t="n"/>
      <c r="Q36" s="364" t="n"/>
      <c r="R36" s="364" t="n"/>
      <c r="S36" s="364" t="n"/>
      <c r="T36" s="364" t="n"/>
      <c r="U36" s="364" t="n"/>
      <c r="V36" s="364" t="n"/>
      <c r="W36" s="364" t="n"/>
      <c r="X36" s="364" t="n"/>
      <c r="Y36" s="364" t="n"/>
      <c r="Z36" s="364" t="n"/>
    </row>
    <row r="37" ht="15" customHeight="1" s="34">
      <c r="A37" s="364" t="n"/>
      <c r="B37" s="364" t="n"/>
      <c r="C37" s="364" t="n"/>
      <c r="D37" s="364" t="n"/>
      <c r="E37" s="364" t="n"/>
      <c r="F37" s="364" t="n"/>
      <c r="G37" s="364" t="n"/>
      <c r="H37" s="364" t="n"/>
      <c r="I37" s="364" t="n"/>
      <c r="J37" s="364" t="n"/>
      <c r="K37" s="364" t="n"/>
      <c r="L37" s="364" t="n"/>
      <c r="M37" s="364" t="n"/>
      <c r="N37" s="364" t="n"/>
      <c r="O37" s="364" t="n"/>
      <c r="P37" s="364" t="n"/>
      <c r="Q37" s="364" t="n"/>
      <c r="R37" s="364" t="n"/>
      <c r="S37" s="364" t="n"/>
      <c r="T37" s="364" t="n"/>
      <c r="U37" s="364" t="n"/>
      <c r="V37" s="364" t="n"/>
      <c r="W37" s="364" t="n"/>
      <c r="X37" s="364" t="n"/>
      <c r="Y37" s="364" t="n"/>
      <c r="Z37" s="364" t="n"/>
    </row>
    <row r="38" ht="15" customHeight="1" s="34">
      <c r="A38" s="364" t="n"/>
      <c r="B38" s="364" t="n"/>
      <c r="C38" s="364" t="n"/>
      <c r="D38" s="364" t="n"/>
      <c r="E38" s="364" t="n"/>
      <c r="F38" s="364" t="n"/>
      <c r="G38" s="364" t="n"/>
      <c r="H38" s="364" t="n"/>
      <c r="I38" s="364" t="n"/>
      <c r="J38" s="364" t="n"/>
      <c r="K38" s="364" t="n"/>
      <c r="L38" s="364" t="n"/>
      <c r="M38" s="364" t="n"/>
      <c r="N38" s="364" t="n"/>
      <c r="O38" s="364" t="n"/>
      <c r="P38" s="364" t="n"/>
      <c r="Q38" s="364" t="n"/>
      <c r="R38" s="364" t="n"/>
      <c r="S38" s="364" t="n"/>
      <c r="T38" s="364" t="n"/>
      <c r="U38" s="364" t="n"/>
      <c r="V38" s="364" t="n"/>
      <c r="W38" s="364" t="n"/>
      <c r="X38" s="364" t="n"/>
      <c r="Y38" s="364" t="n"/>
      <c r="Z38" s="364" t="n"/>
    </row>
    <row r="39" ht="15" customHeight="1" s="34">
      <c r="A39" s="364" t="n"/>
      <c r="B39" s="364" t="n"/>
      <c r="C39" s="364" t="n"/>
      <c r="D39" s="364" t="n"/>
      <c r="E39" s="364" t="n"/>
      <c r="F39" s="364" t="n"/>
      <c r="G39" s="364" t="n"/>
      <c r="H39" s="364" t="n"/>
      <c r="I39" s="364" t="n"/>
      <c r="J39" s="364" t="n"/>
      <c r="K39" s="364" t="n"/>
      <c r="L39" s="364" t="n"/>
      <c r="M39" s="364" t="n"/>
      <c r="N39" s="364" t="n"/>
      <c r="O39" s="364" t="n"/>
      <c r="P39" s="364" t="n"/>
      <c r="Q39" s="364" t="n"/>
      <c r="R39" s="364" t="n"/>
      <c r="S39" s="364" t="n"/>
      <c r="T39" s="364" t="n"/>
      <c r="U39" s="364" t="n"/>
      <c r="V39" s="364" t="n"/>
      <c r="W39" s="364" t="n"/>
      <c r="X39" s="364" t="n"/>
      <c r="Y39" s="364" t="n"/>
      <c r="Z39" s="364" t="n"/>
    </row>
    <row r="40" ht="15" customHeight="1" s="34">
      <c r="A40" s="364" t="n"/>
      <c r="B40" s="364" t="n"/>
      <c r="C40" s="364" t="n"/>
      <c r="D40" s="364" t="n"/>
      <c r="E40" s="364" t="n"/>
      <c r="F40" s="364" t="n"/>
      <c r="G40" s="364" t="n"/>
      <c r="H40" s="364" t="n"/>
      <c r="I40" s="364" t="n"/>
      <c r="J40" s="364" t="n"/>
      <c r="K40" s="364" t="n"/>
      <c r="L40" s="364" t="n"/>
      <c r="M40" s="364" t="n"/>
      <c r="N40" s="364" t="n"/>
      <c r="O40" s="364" t="n"/>
      <c r="P40" s="364" t="n"/>
      <c r="Q40" s="364" t="n"/>
      <c r="R40" s="364" t="n"/>
      <c r="S40" s="364" t="n"/>
      <c r="T40" s="364" t="n"/>
      <c r="U40" s="364" t="n"/>
      <c r="V40" s="364" t="n"/>
      <c r="W40" s="364" t="n"/>
      <c r="X40" s="364" t="n"/>
      <c r="Y40" s="364" t="n"/>
      <c r="Z40" s="364" t="n"/>
    </row>
    <row r="41">
      <c r="A41" s="364" t="n"/>
      <c r="B41" s="364" t="n"/>
      <c r="C41" s="364" t="n"/>
      <c r="D41" s="364" t="n"/>
      <c r="E41" s="364" t="n"/>
      <c r="F41" s="364" t="n"/>
      <c r="G41" s="364" t="n"/>
      <c r="H41" s="364" t="n"/>
      <c r="I41" s="364" t="n"/>
      <c r="J41" s="364" t="n"/>
      <c r="K41" s="364" t="n"/>
      <c r="L41" s="364" t="n"/>
      <c r="M41" s="364" t="n"/>
      <c r="N41" s="364" t="n"/>
      <c r="O41" s="364" t="n"/>
      <c r="P41" s="364" t="n"/>
      <c r="Q41" s="364" t="n"/>
      <c r="R41" s="364" t="n"/>
      <c r="S41" s="364" t="n"/>
      <c r="T41" s="364" t="n"/>
      <c r="U41" s="364" t="n"/>
      <c r="V41" s="364" t="n"/>
      <c r="W41" s="364" t="n"/>
      <c r="X41" s="364" t="n"/>
      <c r="Y41" s="364" t="n"/>
      <c r="Z41" s="364" t="n"/>
    </row>
    <row r="42">
      <c r="A42" s="364" t="n"/>
      <c r="B42" s="364" t="n"/>
      <c r="C42" s="364" t="n"/>
      <c r="D42" s="364" t="n"/>
      <c r="E42" s="364" t="n"/>
      <c r="F42" s="364" t="n"/>
      <c r="G42" s="364" t="n"/>
      <c r="H42" s="364" t="n"/>
      <c r="I42" s="364" t="n"/>
      <c r="J42" s="364" t="n"/>
      <c r="K42" s="364" t="n"/>
      <c r="L42" s="364" t="n"/>
      <c r="M42" s="364" t="n"/>
      <c r="N42" s="364" t="n"/>
      <c r="O42" s="364" t="n"/>
      <c r="P42" s="364" t="n"/>
      <c r="Q42" s="364" t="n"/>
      <c r="R42" s="364" t="n"/>
      <c r="S42" s="364" t="n"/>
      <c r="T42" s="364" t="n"/>
      <c r="U42" s="364" t="n"/>
      <c r="V42" s="364" t="n"/>
      <c r="W42" s="364" t="n"/>
      <c r="X42" s="364" t="n"/>
      <c r="Y42" s="364" t="n"/>
      <c r="Z42" s="364" t="n"/>
    </row>
    <row r="43">
      <c r="A43" s="364" t="n"/>
      <c r="B43" s="364" t="n"/>
      <c r="C43" s="364" t="n"/>
      <c r="D43" s="364" t="n"/>
      <c r="E43" s="364" t="n"/>
      <c r="F43" s="364" t="n"/>
      <c r="G43" s="364" t="n"/>
      <c r="H43" s="364" t="n"/>
      <c r="I43" s="364" t="n"/>
      <c r="J43" s="364" t="n"/>
      <c r="K43" s="364" t="n"/>
      <c r="L43" s="364" t="n"/>
      <c r="M43" s="364" t="n"/>
      <c r="N43" s="364" t="n"/>
      <c r="O43" s="364" t="n"/>
      <c r="P43" s="364" t="n"/>
      <c r="Q43" s="364" t="n"/>
      <c r="R43" s="364" t="n"/>
      <c r="S43" s="364" t="n"/>
      <c r="T43" s="364" t="n"/>
      <c r="U43" s="364" t="n"/>
      <c r="V43" s="364" t="n"/>
      <c r="W43" s="364" t="n"/>
      <c r="X43" s="364" t="n"/>
      <c r="Y43" s="364" t="n"/>
      <c r="Z43" s="364" t="n"/>
    </row>
    <row r="44">
      <c r="A44" s="364" t="n"/>
      <c r="B44" s="364" t="n"/>
      <c r="C44" s="364" t="n"/>
      <c r="D44" s="364" t="n"/>
      <c r="E44" s="364" t="n"/>
      <c r="F44" s="364" t="n"/>
      <c r="G44" s="364" t="n"/>
      <c r="H44" s="364" t="n"/>
      <c r="I44" s="364" t="n"/>
      <c r="J44" s="364" t="n"/>
      <c r="K44" s="364" t="n"/>
      <c r="L44" s="364" t="n"/>
      <c r="M44" s="364" t="n"/>
      <c r="N44" s="364" t="n"/>
      <c r="O44" s="364" t="n"/>
      <c r="P44" s="364" t="n"/>
      <c r="Q44" s="364" t="n"/>
      <c r="R44" s="364" t="n"/>
      <c r="S44" s="364" t="n"/>
      <c r="T44" s="364" t="n"/>
      <c r="U44" s="364" t="n"/>
      <c r="V44" s="364" t="n"/>
      <c r="W44" s="364" t="n"/>
      <c r="X44" s="364" t="n"/>
      <c r="Y44" s="364" t="n"/>
      <c r="Z44" s="364" t="n"/>
    </row>
    <row r="45">
      <c r="A45" s="364" t="n"/>
      <c r="B45" s="364" t="n"/>
      <c r="C45" s="364" t="n"/>
      <c r="D45" s="364" t="n"/>
      <c r="E45" s="364" t="n"/>
      <c r="F45" s="364" t="n"/>
      <c r="G45" s="364" t="n"/>
      <c r="H45" s="364" t="n"/>
      <c r="I45" s="364" t="n"/>
      <c r="J45" s="364" t="n"/>
      <c r="K45" s="364" t="n"/>
      <c r="L45" s="364" t="n"/>
      <c r="M45" s="364" t="n"/>
      <c r="N45" s="364" t="n"/>
      <c r="O45" s="364" t="n"/>
      <c r="P45" s="364" t="n"/>
      <c r="Q45" s="364" t="n"/>
      <c r="R45" s="364" t="n"/>
      <c r="S45" s="364" t="n"/>
      <c r="T45" s="364" t="n"/>
      <c r="U45" s="364" t="n"/>
      <c r="V45" s="364" t="n"/>
      <c r="W45" s="364" t="n"/>
      <c r="X45" s="364" t="n"/>
      <c r="Y45" s="364" t="n"/>
      <c r="Z45" s="364" t="n"/>
    </row>
    <row r="46">
      <c r="A46" s="364" t="n"/>
      <c r="B46" s="364" t="n"/>
      <c r="C46" s="364" t="n"/>
      <c r="D46" s="364" t="n"/>
      <c r="E46" s="364" t="n"/>
      <c r="F46" s="364" t="n"/>
      <c r="G46" s="364" t="n"/>
      <c r="H46" s="364" t="n"/>
      <c r="I46" s="364" t="n"/>
      <c r="J46" s="364" t="n"/>
      <c r="K46" s="364" t="n"/>
      <c r="L46" s="364" t="n"/>
      <c r="M46" s="364" t="n"/>
      <c r="N46" s="364" t="n"/>
      <c r="O46" s="364" t="n"/>
      <c r="P46" s="364" t="n"/>
      <c r="Q46" s="364" t="n"/>
      <c r="R46" s="364" t="n"/>
      <c r="S46" s="364" t="n"/>
      <c r="T46" s="364" t="n"/>
      <c r="U46" s="364" t="n"/>
      <c r="V46" s="364" t="n"/>
      <c r="W46" s="364" t="n"/>
      <c r="X46" s="364" t="n"/>
      <c r="Y46" s="364" t="n"/>
      <c r="Z46" s="364" t="n"/>
    </row>
    <row r="47">
      <c r="A47" s="364" t="n"/>
      <c r="B47" s="364" t="n"/>
      <c r="C47" s="364" t="n"/>
      <c r="D47" s="364" t="n"/>
      <c r="E47" s="364" t="n"/>
      <c r="F47" s="364" t="n"/>
      <c r="G47" s="364" t="n"/>
      <c r="H47" s="364" t="n"/>
      <c r="I47" s="364" t="n"/>
      <c r="J47" s="364" t="n"/>
      <c r="K47" s="364" t="n"/>
      <c r="L47" s="364" t="n"/>
      <c r="M47" s="364" t="n"/>
      <c r="N47" s="364" t="n"/>
      <c r="O47" s="364" t="n"/>
      <c r="P47" s="364" t="n"/>
      <c r="Q47" s="364" t="n"/>
      <c r="R47" s="364" t="n"/>
      <c r="S47" s="364" t="n"/>
      <c r="T47" s="364" t="n"/>
      <c r="U47" s="364" t="n"/>
      <c r="V47" s="364" t="n"/>
      <c r="W47" s="364" t="n"/>
      <c r="X47" s="364" t="n"/>
      <c r="Y47" s="364" t="n"/>
      <c r="Z47" s="364" t="n"/>
    </row>
    <row r="48">
      <c r="A48" s="364" t="n"/>
      <c r="B48" s="364" t="n"/>
      <c r="C48" s="364" t="n"/>
      <c r="D48" s="364" t="n"/>
      <c r="E48" s="364" t="n"/>
      <c r="F48" s="364" t="n"/>
      <c r="G48" s="364" t="n"/>
      <c r="H48" s="364" t="n"/>
      <c r="I48" s="364" t="n"/>
      <c r="J48" s="364" t="n"/>
      <c r="K48" s="364" t="n"/>
      <c r="L48" s="364" t="n"/>
      <c r="M48" s="364" t="n"/>
      <c r="N48" s="364" t="n"/>
      <c r="O48" s="364" t="n"/>
      <c r="P48" s="364" t="n"/>
      <c r="Q48" s="364" t="n"/>
      <c r="R48" s="364" t="n"/>
      <c r="S48" s="364" t="n"/>
      <c r="T48" s="364" t="n"/>
      <c r="U48" s="364" t="n"/>
      <c r="V48" s="364" t="n"/>
      <c r="W48" s="364" t="n"/>
      <c r="X48" s="364" t="n"/>
      <c r="Y48" s="364" t="n"/>
      <c r="Z48" s="364" t="n"/>
    </row>
    <row r="49">
      <c r="A49" s="364" t="n"/>
      <c r="B49" s="364" t="n"/>
      <c r="C49" s="364" t="n"/>
      <c r="D49" s="364" t="n"/>
      <c r="E49" s="364" t="n"/>
      <c r="F49" s="364" t="n"/>
      <c r="G49" s="364" t="n"/>
      <c r="H49" s="364" t="n"/>
      <c r="I49" s="364" t="n"/>
      <c r="J49" s="364" t="n"/>
      <c r="K49" s="364" t="n"/>
      <c r="L49" s="364" t="n"/>
      <c r="M49" s="364" t="n"/>
      <c r="N49" s="364" t="n"/>
      <c r="O49" s="364" t="n"/>
      <c r="P49" s="364" t="n"/>
      <c r="Q49" s="364" t="n"/>
      <c r="R49" s="364" t="n"/>
      <c r="S49" s="364" t="n"/>
      <c r="T49" s="364" t="n"/>
      <c r="U49" s="364" t="n"/>
      <c r="V49" s="364" t="n"/>
      <c r="W49" s="364" t="n"/>
      <c r="X49" s="364" t="n"/>
      <c r="Y49" s="364" t="n"/>
      <c r="Z49" s="364" t="n"/>
    </row>
    <row r="50">
      <c r="A50" s="364" t="n"/>
      <c r="B50" s="364" t="n"/>
      <c r="C50" s="364" t="n"/>
      <c r="D50" s="364" t="n"/>
      <c r="E50" s="364" t="n"/>
      <c r="F50" s="364" t="n"/>
      <c r="G50" s="364" t="n"/>
      <c r="H50" s="364" t="n"/>
      <c r="I50" s="364" t="n"/>
      <c r="J50" s="364" t="n"/>
      <c r="K50" s="364" t="n"/>
      <c r="L50" s="364" t="n"/>
      <c r="M50" s="364" t="n"/>
      <c r="N50" s="364" t="n"/>
      <c r="O50" s="364" t="n"/>
      <c r="P50" s="364" t="n"/>
      <c r="Q50" s="364" t="n"/>
      <c r="R50" s="364" t="n"/>
      <c r="S50" s="364" t="n"/>
      <c r="T50" s="364" t="n"/>
      <c r="U50" s="364" t="n"/>
      <c r="V50" s="364" t="n"/>
      <c r="W50" s="364" t="n"/>
      <c r="X50" s="364" t="n"/>
      <c r="Y50" s="364" t="n"/>
      <c r="Z50" s="364" t="n"/>
    </row>
    <row r="51">
      <c r="A51" s="364" t="n"/>
      <c r="B51" s="364" t="n"/>
      <c r="C51" s="364" t="n"/>
      <c r="D51" s="364" t="n"/>
      <c r="E51" s="364" t="n"/>
      <c r="F51" s="364" t="n"/>
      <c r="G51" s="364" t="n"/>
      <c r="H51" s="364" t="n"/>
      <c r="I51" s="364" t="n"/>
      <c r="J51" s="364" t="n"/>
      <c r="K51" s="364" t="n"/>
      <c r="L51" s="364" t="n"/>
      <c r="M51" s="364" t="n"/>
      <c r="N51" s="364" t="n"/>
      <c r="O51" s="364" t="n"/>
      <c r="P51" s="364" t="n"/>
      <c r="Q51" s="364" t="n"/>
      <c r="R51" s="364" t="n"/>
      <c r="S51" s="364" t="n"/>
      <c r="T51" s="364" t="n"/>
      <c r="U51" s="364" t="n"/>
      <c r="V51" s="364" t="n"/>
      <c r="W51" s="364" t="n"/>
      <c r="X51" s="364" t="n"/>
      <c r="Y51" s="364" t="n"/>
      <c r="Z51" s="364" t="n"/>
    </row>
    <row r="52">
      <c r="A52" s="364" t="n"/>
      <c r="B52" s="364" t="n"/>
      <c r="C52" s="364" t="n"/>
      <c r="D52" s="364" t="n"/>
      <c r="E52" s="364" t="n"/>
      <c r="F52" s="364" t="n"/>
      <c r="G52" s="364" t="n"/>
      <c r="H52" s="364" t="n"/>
      <c r="I52" s="364" t="n"/>
      <c r="J52" s="364" t="n"/>
      <c r="K52" s="364" t="n"/>
      <c r="L52" s="364" t="n"/>
      <c r="M52" s="364" t="n"/>
      <c r="N52" s="364" t="n"/>
      <c r="O52" s="364" t="n"/>
      <c r="P52" s="364" t="n"/>
      <c r="Q52" s="364" t="n"/>
      <c r="R52" s="364" t="n"/>
      <c r="S52" s="364" t="n"/>
      <c r="T52" s="364" t="n"/>
      <c r="U52" s="364" t="n"/>
      <c r="V52" s="364" t="n"/>
      <c r="W52" s="364" t="n"/>
      <c r="X52" s="364" t="n"/>
      <c r="Y52" s="364" t="n"/>
      <c r="Z52" s="364" t="n"/>
    </row>
    <row r="53">
      <c r="A53" s="364" t="n"/>
      <c r="B53" s="364" t="n"/>
      <c r="C53" s="364" t="n"/>
      <c r="D53" s="364" t="n"/>
      <c r="E53" s="364" t="n"/>
      <c r="F53" s="364" t="n"/>
      <c r="G53" s="364" t="n"/>
      <c r="H53" s="364" t="n"/>
      <c r="I53" s="364" t="n"/>
      <c r="J53" s="364" t="n"/>
      <c r="K53" s="364" t="n"/>
      <c r="L53" s="364" t="n"/>
      <c r="M53" s="364" t="n"/>
      <c r="N53" s="364" t="n"/>
      <c r="O53" s="364" t="n"/>
      <c r="P53" s="364" t="n"/>
      <c r="Q53" s="364" t="n"/>
      <c r="R53" s="364" t="n"/>
      <c r="S53" s="364" t="n"/>
      <c r="T53" s="364" t="n"/>
      <c r="U53" s="364" t="n"/>
      <c r="V53" s="364" t="n"/>
      <c r="W53" s="364" t="n"/>
      <c r="X53" s="364" t="n"/>
      <c r="Y53" s="364" t="n"/>
      <c r="Z53" s="364" t="n"/>
    </row>
    <row r="54">
      <c r="A54" s="364" t="n"/>
      <c r="B54" s="364" t="n"/>
      <c r="C54" s="364" t="n"/>
      <c r="D54" s="364" t="n"/>
      <c r="E54" s="364" t="n"/>
      <c r="F54" s="364" t="n"/>
      <c r="G54" s="364" t="n"/>
      <c r="H54" s="364" t="n"/>
      <c r="I54" s="364" t="n"/>
      <c r="J54" s="364" t="n"/>
      <c r="K54" s="364" t="n"/>
      <c r="L54" s="364" t="n"/>
      <c r="M54" s="364" t="n"/>
      <c r="N54" s="364" t="n"/>
      <c r="O54" s="364" t="n"/>
      <c r="P54" s="364" t="n"/>
      <c r="Q54" s="364" t="n"/>
      <c r="R54" s="364" t="n"/>
      <c r="S54" s="364" t="n"/>
      <c r="T54" s="364" t="n"/>
      <c r="U54" s="364" t="n"/>
      <c r="V54" s="364" t="n"/>
      <c r="W54" s="364" t="n"/>
      <c r="X54" s="364" t="n"/>
      <c r="Y54" s="364" t="n"/>
      <c r="Z54" s="364" t="n"/>
    </row>
    <row r="55">
      <c r="A55" s="364" t="n"/>
      <c r="B55" s="364" t="n"/>
      <c r="C55" s="364" t="n"/>
      <c r="D55" s="364" t="n"/>
      <c r="E55" s="364" t="n"/>
      <c r="F55" s="364" t="n"/>
      <c r="G55" s="364" t="n"/>
      <c r="H55" s="364" t="n"/>
      <c r="I55" s="364" t="n"/>
      <c r="J55" s="364" t="n"/>
      <c r="K55" s="364" t="n"/>
      <c r="L55" s="364" t="n"/>
      <c r="M55" s="364" t="n"/>
      <c r="N55" s="364" t="n"/>
      <c r="O55" s="364" t="n"/>
      <c r="P55" s="364" t="n"/>
      <c r="Q55" s="364" t="n"/>
      <c r="R55" s="364" t="n"/>
      <c r="S55" s="364" t="n"/>
      <c r="T55" s="364" t="n"/>
      <c r="U55" s="364" t="n"/>
      <c r="V55" s="364" t="n"/>
      <c r="W55" s="364" t="n"/>
      <c r="X55" s="364" t="n"/>
      <c r="Y55" s="364" t="n"/>
      <c r="Z55" s="364" t="n"/>
    </row>
    <row r="56">
      <c r="A56" s="364" t="n"/>
      <c r="B56" s="364" t="n"/>
      <c r="C56" s="364" t="n"/>
      <c r="D56" s="364" t="n"/>
      <c r="E56" s="364" t="n"/>
      <c r="F56" s="364" t="n"/>
      <c r="G56" s="364" t="n"/>
      <c r="H56" s="364" t="n"/>
      <c r="I56" s="364" t="n"/>
      <c r="J56" s="364" t="n"/>
      <c r="K56" s="364" t="n"/>
      <c r="L56" s="364" t="n"/>
      <c r="M56" s="364" t="n"/>
      <c r="N56" s="364" t="n"/>
      <c r="O56" s="364" t="n"/>
      <c r="P56" s="364" t="n"/>
      <c r="Q56" s="364" t="n"/>
      <c r="R56" s="364" t="n"/>
      <c r="S56" s="364" t="n"/>
      <c r="T56" s="364" t="n"/>
      <c r="U56" s="364" t="n"/>
      <c r="V56" s="364" t="n"/>
      <c r="W56" s="364" t="n"/>
      <c r="X56" s="364" t="n"/>
      <c r="Y56" s="364" t="n"/>
      <c r="Z56" s="364" t="n"/>
    </row>
    <row r="57">
      <c r="A57" s="364" t="n"/>
      <c r="B57" s="364" t="n"/>
      <c r="C57" s="364" t="n"/>
      <c r="D57" s="364" t="n"/>
      <c r="E57" s="364" t="n"/>
      <c r="F57" s="364" t="n"/>
      <c r="G57" s="364" t="n"/>
      <c r="H57" s="364" t="n"/>
      <c r="I57" s="364" t="n"/>
      <c r="J57" s="364" t="n"/>
      <c r="K57" s="364" t="n"/>
      <c r="L57" s="364" t="n"/>
      <c r="M57" s="364" t="n"/>
      <c r="N57" s="364" t="n"/>
      <c r="O57" s="364" t="n"/>
      <c r="P57" s="364" t="n"/>
      <c r="Q57" s="364" t="n"/>
      <c r="R57" s="364" t="n"/>
      <c r="S57" s="364" t="n"/>
      <c r="T57" s="364" t="n"/>
      <c r="U57" s="364" t="n"/>
      <c r="V57" s="364" t="n"/>
      <c r="W57" s="364" t="n"/>
      <c r="X57" s="364" t="n"/>
      <c r="Y57" s="364" t="n"/>
      <c r="Z57" s="364" t="n"/>
    </row>
    <row r="58">
      <c r="A58" s="364" t="n"/>
      <c r="B58" s="364" t="n"/>
      <c r="C58" s="364" t="n"/>
      <c r="D58" s="364" t="n"/>
      <c r="E58" s="364" t="n"/>
      <c r="F58" s="364" t="n"/>
      <c r="G58" s="364" t="n"/>
      <c r="H58" s="364" t="n"/>
      <c r="I58" s="364" t="n"/>
      <c r="J58" s="364" t="n"/>
      <c r="K58" s="364" t="n"/>
      <c r="L58" s="364" t="n"/>
      <c r="M58" s="364" t="n"/>
      <c r="N58" s="364" t="n"/>
      <c r="O58" s="364" t="n"/>
      <c r="P58" s="364" t="n"/>
      <c r="Q58" s="364" t="n"/>
      <c r="R58" s="364" t="n"/>
      <c r="S58" s="364" t="n"/>
      <c r="T58" s="364" t="n"/>
      <c r="U58" s="364" t="n"/>
      <c r="V58" s="364" t="n"/>
      <c r="W58" s="364" t="n"/>
      <c r="X58" s="364" t="n"/>
      <c r="Y58" s="364" t="n"/>
      <c r="Z58" s="364" t="n"/>
    </row>
    <row r="59">
      <c r="A59" s="364" t="n"/>
      <c r="B59" s="364" t="n"/>
      <c r="C59" s="364" t="n"/>
      <c r="D59" s="364" t="n"/>
      <c r="E59" s="364" t="n"/>
      <c r="F59" s="364" t="n"/>
      <c r="G59" s="364" t="n"/>
      <c r="H59" s="364" t="n"/>
      <c r="I59" s="364" t="n"/>
      <c r="J59" s="364" t="n"/>
      <c r="K59" s="364" t="n"/>
      <c r="L59" s="364" t="n"/>
      <c r="M59" s="364" t="n"/>
      <c r="N59" s="364" t="n"/>
      <c r="O59" s="364" t="n"/>
      <c r="P59" s="364" t="n"/>
      <c r="Q59" s="364" t="n"/>
      <c r="R59" s="364" t="n"/>
      <c r="S59" s="364" t="n"/>
      <c r="T59" s="364" t="n"/>
      <c r="U59" s="364" t="n"/>
      <c r="V59" s="364" t="n"/>
      <c r="W59" s="364" t="n"/>
      <c r="X59" s="364" t="n"/>
      <c r="Y59" s="364" t="n"/>
      <c r="Z59" s="364" t="n"/>
    </row>
    <row r="60">
      <c r="A60" s="364" t="n"/>
      <c r="B60" s="364" t="n"/>
      <c r="C60" s="364" t="n"/>
      <c r="D60" s="364" t="n"/>
      <c r="E60" s="364" t="n"/>
      <c r="F60" s="364" t="n"/>
      <c r="G60" s="364" t="n"/>
      <c r="H60" s="364" t="n"/>
      <c r="I60" s="364" t="n"/>
      <c r="J60" s="364" t="n"/>
      <c r="K60" s="364" t="n"/>
      <c r="L60" s="364" t="n"/>
      <c r="M60" s="364" t="n"/>
      <c r="N60" s="364" t="n"/>
      <c r="O60" s="364" t="n"/>
      <c r="P60" s="364" t="n"/>
      <c r="Q60" s="364" t="n"/>
      <c r="R60" s="364" t="n"/>
      <c r="S60" s="364" t="n"/>
      <c r="T60" s="364" t="n"/>
      <c r="U60" s="364" t="n"/>
      <c r="V60" s="364" t="n"/>
      <c r="W60" s="364" t="n"/>
      <c r="X60" s="364" t="n"/>
      <c r="Y60" s="364" t="n"/>
      <c r="Z60" s="364" t="n"/>
    </row>
    <row r="61">
      <c r="A61" s="364" t="n"/>
      <c r="B61" s="364" t="n"/>
      <c r="C61" s="364" t="n"/>
      <c r="D61" s="364" t="n"/>
      <c r="E61" s="364" t="n"/>
      <c r="F61" s="364" t="n"/>
      <c r="G61" s="364" t="n"/>
      <c r="H61" s="364" t="n"/>
      <c r="I61" s="364" t="n"/>
      <c r="J61" s="364" t="n"/>
      <c r="K61" s="364" t="n"/>
      <c r="L61" s="364" t="n"/>
      <c r="M61" s="364" t="n"/>
      <c r="N61" s="364" t="n"/>
      <c r="O61" s="364" t="n"/>
      <c r="P61" s="364" t="n"/>
      <c r="Q61" s="364" t="n"/>
      <c r="R61" s="364" t="n"/>
      <c r="S61" s="364" t="n"/>
      <c r="T61" s="364" t="n"/>
      <c r="U61" s="364" t="n"/>
      <c r="V61" s="364" t="n"/>
      <c r="W61" s="364" t="n"/>
      <c r="X61" s="364" t="n"/>
      <c r="Y61" s="364" t="n"/>
      <c r="Z61" s="364" t="n"/>
    </row>
    <row r="62">
      <c r="A62" s="364" t="n"/>
      <c r="B62" s="364" t="n"/>
      <c r="C62" s="364" t="n"/>
      <c r="D62" s="364" t="n"/>
      <c r="E62" s="364" t="n"/>
      <c r="F62" s="364" t="n"/>
      <c r="G62" s="364" t="n"/>
      <c r="H62" s="364" t="n"/>
      <c r="I62" s="364" t="n"/>
      <c r="J62" s="364" t="n"/>
      <c r="K62" s="364" t="n"/>
      <c r="L62" s="364" t="n"/>
      <c r="M62" s="364" t="n"/>
      <c r="N62" s="364" t="n"/>
      <c r="O62" s="364" t="n"/>
      <c r="P62" s="364" t="n"/>
      <c r="Q62" s="364" t="n"/>
      <c r="R62" s="364" t="n"/>
      <c r="S62" s="364" t="n"/>
      <c r="T62" s="364" t="n"/>
      <c r="U62" s="364" t="n"/>
      <c r="V62" s="364" t="n"/>
      <c r="W62" s="364" t="n"/>
      <c r="X62" s="364" t="n"/>
      <c r="Y62" s="364" t="n"/>
      <c r="Z62" s="364" t="n"/>
    </row>
    <row r="63">
      <c r="A63" s="364" t="n"/>
      <c r="B63" s="364" t="n"/>
      <c r="C63" s="364" t="n"/>
      <c r="D63" s="364" t="n"/>
      <c r="E63" s="364" t="n"/>
      <c r="F63" s="364" t="n"/>
      <c r="G63" s="364" t="n"/>
      <c r="H63" s="364" t="n"/>
      <c r="I63" s="364" t="n"/>
      <c r="J63" s="364" t="n"/>
      <c r="K63" s="364" t="n"/>
      <c r="L63" s="364" t="n"/>
      <c r="M63" s="364" t="n"/>
      <c r="N63" s="364" t="n"/>
      <c r="O63" s="364" t="n"/>
      <c r="P63" s="364" t="n"/>
      <c r="Q63" s="364" t="n"/>
      <c r="R63" s="364" t="n"/>
      <c r="S63" s="364" t="n"/>
      <c r="T63" s="364" t="n"/>
      <c r="U63" s="364" t="n"/>
      <c r="V63" s="364" t="n"/>
      <c r="W63" s="364" t="n"/>
      <c r="X63" s="364" t="n"/>
      <c r="Y63" s="364" t="n"/>
      <c r="Z63" s="364" t="n"/>
    </row>
    <row r="64">
      <c r="A64" s="364" t="n"/>
      <c r="B64" s="364" t="n"/>
      <c r="C64" s="364" t="n"/>
      <c r="D64" s="364" t="n"/>
      <c r="E64" s="364" t="n"/>
      <c r="F64" s="364" t="n"/>
      <c r="G64" s="364" t="n"/>
      <c r="H64" s="364" t="n"/>
      <c r="I64" s="364" t="n"/>
      <c r="J64" s="364" t="n"/>
      <c r="K64" s="364" t="n"/>
      <c r="L64" s="364" t="n"/>
      <c r="M64" s="364" t="n"/>
      <c r="N64" s="364" t="n"/>
      <c r="O64" s="364" t="n"/>
      <c r="P64" s="364" t="n"/>
      <c r="Q64" s="364" t="n"/>
      <c r="R64" s="364" t="n"/>
      <c r="S64" s="364" t="n"/>
      <c r="T64" s="364" t="n"/>
      <c r="U64" s="364" t="n"/>
      <c r="V64" s="364" t="n"/>
      <c r="W64" s="364" t="n"/>
      <c r="X64" s="364" t="n"/>
      <c r="Y64" s="364" t="n"/>
      <c r="Z64" s="364" t="n"/>
    </row>
    <row r="65">
      <c r="A65" s="364" t="n"/>
      <c r="B65" s="364" t="n"/>
      <c r="C65" s="364" t="n"/>
      <c r="D65" s="364" t="n"/>
      <c r="E65" s="364" t="n"/>
      <c r="F65" s="364" t="n"/>
      <c r="G65" s="364" t="n"/>
      <c r="H65" s="364" t="n"/>
      <c r="I65" s="364" t="n"/>
      <c r="J65" s="364" t="n"/>
      <c r="K65" s="364" t="n"/>
      <c r="L65" s="364" t="n"/>
      <c r="M65" s="364" t="n"/>
      <c r="N65" s="364" t="n"/>
      <c r="O65" s="364" t="n"/>
      <c r="P65" s="364" t="n"/>
      <c r="Q65" s="364" t="n"/>
      <c r="R65" s="364" t="n"/>
      <c r="S65" s="364" t="n"/>
      <c r="T65" s="364" t="n"/>
      <c r="U65" s="364" t="n"/>
      <c r="V65" s="364" t="n"/>
      <c r="W65" s="364" t="n"/>
      <c r="X65" s="364" t="n"/>
      <c r="Y65" s="364" t="n"/>
      <c r="Z65" s="364" t="n"/>
    </row>
    <row r="66">
      <c r="A66" s="364" t="n"/>
      <c r="B66" s="364" t="n"/>
      <c r="C66" s="364" t="n"/>
      <c r="D66" s="364" t="n"/>
      <c r="E66" s="364" t="n"/>
      <c r="F66" s="364" t="n"/>
      <c r="G66" s="364" t="n"/>
      <c r="H66" s="364" t="n"/>
      <c r="I66" s="364" t="n"/>
      <c r="J66" s="364" t="n"/>
      <c r="K66" s="364" t="n"/>
      <c r="L66" s="364" t="n"/>
      <c r="M66" s="364" t="n"/>
      <c r="N66" s="364" t="n"/>
      <c r="O66" s="364" t="n"/>
      <c r="P66" s="364" t="n"/>
      <c r="Q66" s="364" t="n"/>
      <c r="R66" s="364" t="n"/>
      <c r="S66" s="364" t="n"/>
      <c r="T66" s="364" t="n"/>
      <c r="U66" s="364" t="n"/>
      <c r="V66" s="364" t="n"/>
      <c r="W66" s="364" t="n"/>
      <c r="X66" s="364" t="n"/>
      <c r="Y66" s="364" t="n"/>
      <c r="Z66" s="364" t="n"/>
    </row>
    <row r="67">
      <c r="A67" s="364" t="n"/>
      <c r="B67" s="364" t="n"/>
      <c r="C67" s="364" t="n"/>
      <c r="D67" s="364" t="n"/>
      <c r="E67" s="364" t="n"/>
      <c r="F67" s="364" t="n"/>
      <c r="G67" s="364" t="n"/>
      <c r="H67" s="364" t="n"/>
      <c r="I67" s="364" t="n"/>
      <c r="J67" s="364" t="n"/>
      <c r="K67" s="364" t="n"/>
      <c r="L67" s="364" t="n"/>
      <c r="M67" s="364" t="n"/>
      <c r="N67" s="364" t="n"/>
      <c r="O67" s="364" t="n"/>
      <c r="P67" s="364" t="n"/>
      <c r="Q67" s="364" t="n"/>
      <c r="R67" s="364" t="n"/>
      <c r="S67" s="364" t="n"/>
      <c r="T67" s="364" t="n"/>
      <c r="U67" s="364" t="n"/>
      <c r="V67" s="364" t="n"/>
      <c r="W67" s="364" t="n"/>
      <c r="X67" s="364" t="n"/>
      <c r="Y67" s="364" t="n"/>
      <c r="Z67" s="364" t="n"/>
    </row>
    <row r="68">
      <c r="A68" s="364" t="n"/>
      <c r="B68" s="364" t="n"/>
      <c r="C68" s="364" t="n"/>
      <c r="D68" s="364" t="n"/>
      <c r="E68" s="364" t="n"/>
      <c r="F68" s="364" t="n"/>
      <c r="G68" s="364" t="n"/>
      <c r="H68" s="364" t="n"/>
      <c r="I68" s="364" t="n"/>
      <c r="J68" s="364" t="n"/>
      <c r="K68" s="364" t="n"/>
      <c r="L68" s="364" t="n"/>
      <c r="M68" s="364" t="n"/>
      <c r="N68" s="364" t="n"/>
      <c r="O68" s="364" t="n"/>
      <c r="P68" s="364" t="n"/>
      <c r="Q68" s="364" t="n"/>
      <c r="R68" s="364" t="n"/>
      <c r="S68" s="364" t="n"/>
      <c r="T68" s="364" t="n"/>
      <c r="U68" s="364" t="n"/>
      <c r="V68" s="364" t="n"/>
      <c r="W68" s="364" t="n"/>
      <c r="X68" s="364" t="n"/>
      <c r="Y68" s="364" t="n"/>
      <c r="Z68" s="364" t="n"/>
    </row>
    <row r="69">
      <c r="A69" s="364" t="n"/>
      <c r="B69" s="364" t="n"/>
      <c r="C69" s="364" t="n"/>
      <c r="D69" s="364" t="n"/>
      <c r="E69" s="364" t="n"/>
      <c r="F69" s="364" t="n"/>
      <c r="G69" s="364" t="n"/>
      <c r="H69" s="364" t="n"/>
      <c r="I69" s="364" t="n"/>
      <c r="J69" s="364" t="n"/>
      <c r="K69" s="364" t="n"/>
      <c r="L69" s="364" t="n"/>
      <c r="M69" s="364" t="n"/>
      <c r="N69" s="364" t="n"/>
      <c r="O69" s="364" t="n"/>
      <c r="P69" s="364" t="n"/>
      <c r="Q69" s="364" t="n"/>
      <c r="R69" s="364" t="n"/>
      <c r="S69" s="364" t="n"/>
      <c r="T69" s="364" t="n"/>
      <c r="U69" s="364" t="n"/>
      <c r="V69" s="364" t="n"/>
      <c r="W69" s="364" t="n"/>
      <c r="X69" s="364" t="n"/>
      <c r="Y69" s="364" t="n"/>
      <c r="Z69" s="364" t="n"/>
    </row>
    <row r="70">
      <c r="A70" s="364" t="n"/>
      <c r="B70" s="364" t="n"/>
      <c r="C70" s="364" t="n"/>
      <c r="D70" s="364" t="n"/>
      <c r="E70" s="364" t="n"/>
      <c r="F70" s="364" t="n"/>
      <c r="G70" s="364" t="n"/>
      <c r="H70" s="364" t="n"/>
      <c r="I70" s="364" t="n"/>
      <c r="J70" s="364" t="n"/>
      <c r="K70" s="364" t="n"/>
      <c r="L70" s="364" t="n"/>
      <c r="M70" s="364" t="n"/>
      <c r="N70" s="364" t="n"/>
      <c r="O70" s="364" t="n"/>
      <c r="P70" s="364" t="n"/>
      <c r="Q70" s="364" t="n"/>
      <c r="R70" s="364" t="n"/>
      <c r="S70" s="364" t="n"/>
      <c r="T70" s="364" t="n"/>
      <c r="U70" s="364" t="n"/>
      <c r="V70" s="364" t="n"/>
      <c r="W70" s="364" t="n"/>
      <c r="X70" s="364" t="n"/>
      <c r="Y70" s="364" t="n"/>
      <c r="Z70" s="364" t="n"/>
    </row>
    <row r="71">
      <c r="A71" s="364" t="n"/>
      <c r="B71" s="364" t="n"/>
      <c r="C71" s="364" t="n"/>
      <c r="D71" s="364" t="n"/>
      <c r="E71" s="364" t="n"/>
      <c r="F71" s="364" t="n"/>
      <c r="G71" s="364" t="n"/>
      <c r="H71" s="364" t="n"/>
      <c r="I71" s="364" t="n"/>
      <c r="J71" s="364" t="n"/>
      <c r="K71" s="364" t="n"/>
      <c r="L71" s="364" t="n"/>
      <c r="M71" s="364" t="n"/>
      <c r="N71" s="364" t="n"/>
      <c r="O71" s="364" t="n"/>
      <c r="P71" s="364" t="n"/>
      <c r="Q71" s="364" t="n"/>
      <c r="R71" s="364" t="n"/>
      <c r="S71" s="364" t="n"/>
      <c r="T71" s="364" t="n"/>
      <c r="U71" s="364" t="n"/>
      <c r="V71" s="364" t="n"/>
      <c r="W71" s="364" t="n"/>
      <c r="X71" s="364" t="n"/>
      <c r="Y71" s="364" t="n"/>
      <c r="Z71" s="364" t="n"/>
    </row>
    <row r="72">
      <c r="A72" s="364" t="n"/>
      <c r="B72" s="364" t="n"/>
      <c r="C72" s="364" t="n"/>
      <c r="D72" s="364" t="n"/>
      <c r="E72" s="364" t="n"/>
      <c r="F72" s="364" t="n"/>
      <c r="G72" s="364" t="n"/>
      <c r="H72" s="364" t="n"/>
      <c r="I72" s="364" t="n"/>
      <c r="J72" s="364" t="n"/>
      <c r="K72" s="364" t="n"/>
      <c r="L72" s="364" t="n"/>
      <c r="M72" s="364" t="n"/>
      <c r="N72" s="364" t="n"/>
      <c r="O72" s="364" t="n"/>
      <c r="P72" s="364" t="n"/>
      <c r="Q72" s="364" t="n"/>
      <c r="R72" s="364" t="n"/>
      <c r="S72" s="364" t="n"/>
      <c r="T72" s="364" t="n"/>
      <c r="U72" s="364" t="n"/>
      <c r="V72" s="364" t="n"/>
      <c r="W72" s="364" t="n"/>
      <c r="X72" s="364" t="n"/>
      <c r="Y72" s="364" t="n"/>
      <c r="Z72" s="364" t="n"/>
    </row>
    <row r="73">
      <c r="A73" s="364" t="n"/>
      <c r="B73" s="364" t="n"/>
      <c r="C73" s="364" t="n"/>
      <c r="D73" s="364" t="n"/>
      <c r="E73" s="364" t="n"/>
      <c r="F73" s="364" t="n"/>
      <c r="G73" s="364" t="n"/>
      <c r="H73" s="364" t="n"/>
      <c r="I73" s="364" t="n"/>
      <c r="J73" s="364" t="n"/>
      <c r="K73" s="364" t="n"/>
      <c r="L73" s="364" t="n"/>
      <c r="M73" s="364" t="n"/>
      <c r="N73" s="364" t="n"/>
      <c r="O73" s="364" t="n"/>
      <c r="P73" s="364" t="n"/>
      <c r="Q73" s="364" t="n"/>
      <c r="R73" s="364" t="n"/>
      <c r="S73" s="364" t="n"/>
      <c r="T73" s="364" t="n"/>
      <c r="U73" s="364" t="n"/>
      <c r="V73" s="364" t="n"/>
      <c r="W73" s="364" t="n"/>
      <c r="X73" s="364" t="n"/>
      <c r="Y73" s="364" t="n"/>
      <c r="Z73" s="364" t="n"/>
    </row>
    <row r="74">
      <c r="A74" s="364" t="n"/>
      <c r="B74" s="364" t="n"/>
      <c r="C74" s="364" t="n"/>
      <c r="D74" s="364" t="n"/>
      <c r="E74" s="364" t="n"/>
      <c r="F74" s="364" t="n"/>
      <c r="G74" s="364" t="n"/>
      <c r="H74" s="364" t="n"/>
      <c r="I74" s="364" t="n"/>
      <c r="J74" s="364" t="n"/>
      <c r="K74" s="364" t="n"/>
      <c r="L74" s="364" t="n"/>
      <c r="M74" s="364" t="n"/>
      <c r="N74" s="364" t="n"/>
      <c r="O74" s="364" t="n"/>
      <c r="P74" s="364" t="n"/>
      <c r="Q74" s="364" t="n"/>
      <c r="R74" s="364" t="n"/>
      <c r="S74" s="364" t="n"/>
      <c r="T74" s="364" t="n"/>
      <c r="U74" s="364" t="n"/>
      <c r="V74" s="364" t="n"/>
      <c r="W74" s="364" t="n"/>
      <c r="X74" s="364" t="n"/>
      <c r="Y74" s="364" t="n"/>
      <c r="Z74" s="364" t="n"/>
    </row>
    <row r="75">
      <c r="A75" s="364" t="n"/>
      <c r="B75" s="364" t="n"/>
      <c r="C75" s="364" t="n"/>
      <c r="D75" s="364" t="n"/>
      <c r="E75" s="364" t="n"/>
      <c r="F75" s="364" t="n"/>
      <c r="G75" s="364" t="n"/>
      <c r="H75" s="364" t="n"/>
      <c r="I75" s="364" t="n"/>
      <c r="J75" s="364" t="n"/>
      <c r="K75" s="364" t="n"/>
      <c r="L75" s="364" t="n"/>
      <c r="M75" s="364" t="n"/>
      <c r="N75" s="364" t="n"/>
      <c r="O75" s="364" t="n"/>
      <c r="P75" s="364" t="n"/>
      <c r="Q75" s="364" t="n"/>
      <c r="R75" s="364" t="n"/>
      <c r="S75" s="364" t="n"/>
      <c r="T75" s="364" t="n"/>
      <c r="U75" s="364" t="n"/>
      <c r="V75" s="364" t="n"/>
      <c r="W75" s="364" t="n"/>
      <c r="X75" s="364" t="n"/>
      <c r="Y75" s="364" t="n"/>
      <c r="Z75" s="364" t="n"/>
    </row>
    <row r="76">
      <c r="A76" s="364" t="n"/>
      <c r="B76" s="364" t="n"/>
      <c r="C76" s="364" t="n"/>
      <c r="D76" s="364" t="n"/>
      <c r="E76" s="364" t="n"/>
      <c r="F76" s="364" t="n"/>
      <c r="G76" s="364" t="n"/>
      <c r="H76" s="364" t="n"/>
      <c r="I76" s="364" t="n"/>
      <c r="J76" s="364" t="n"/>
      <c r="K76" s="364" t="n"/>
      <c r="L76" s="364" t="n"/>
      <c r="M76" s="364" t="n"/>
      <c r="N76" s="364" t="n"/>
      <c r="O76" s="364" t="n"/>
      <c r="P76" s="364" t="n"/>
      <c r="Q76" s="364" t="n"/>
      <c r="R76" s="364" t="n"/>
      <c r="S76" s="364" t="n"/>
      <c r="T76" s="364" t="n"/>
      <c r="U76" s="364" t="n"/>
      <c r="V76" s="364" t="n"/>
      <c r="W76" s="364" t="n"/>
      <c r="X76" s="364" t="n"/>
      <c r="Y76" s="364" t="n"/>
      <c r="Z76" s="364" t="n"/>
    </row>
    <row r="77">
      <c r="A77" s="364" t="n"/>
      <c r="B77" s="364" t="n"/>
      <c r="C77" s="364" t="n"/>
      <c r="D77" s="364" t="n"/>
      <c r="E77" s="364" t="n"/>
      <c r="F77" s="364" t="n"/>
      <c r="G77" s="364" t="n"/>
      <c r="H77" s="364" t="n"/>
      <c r="I77" s="364" t="n"/>
      <c r="J77" s="364" t="n"/>
      <c r="K77" s="364" t="n"/>
      <c r="L77" s="364" t="n"/>
      <c r="M77" s="364" t="n"/>
      <c r="N77" s="364" t="n"/>
      <c r="O77" s="364" t="n"/>
      <c r="P77" s="364" t="n"/>
      <c r="Q77" s="364" t="n"/>
      <c r="R77" s="364" t="n"/>
      <c r="S77" s="364" t="n"/>
      <c r="T77" s="364" t="n"/>
      <c r="U77" s="364" t="n"/>
      <c r="V77" s="364" t="n"/>
      <c r="W77" s="364" t="n"/>
      <c r="X77" s="364" t="n"/>
      <c r="Y77" s="364" t="n"/>
      <c r="Z77" s="364" t="n"/>
    </row>
    <row r="78">
      <c r="A78" s="364" t="n"/>
      <c r="B78" s="364" t="n"/>
      <c r="C78" s="364" t="n"/>
      <c r="D78" s="364" t="n"/>
      <c r="E78" s="364" t="n"/>
      <c r="F78" s="364" t="n"/>
      <c r="G78" s="364" t="n"/>
      <c r="H78" s="364" t="n"/>
      <c r="I78" s="364" t="n"/>
      <c r="J78" s="364" t="n"/>
      <c r="K78" s="364" t="n"/>
      <c r="L78" s="364" t="n"/>
      <c r="M78" s="364" t="n"/>
      <c r="N78" s="364" t="n"/>
      <c r="O78" s="364" t="n"/>
      <c r="P78" s="364" t="n"/>
      <c r="Q78" s="364" t="n"/>
      <c r="R78" s="364" t="n"/>
      <c r="S78" s="364" t="n"/>
      <c r="T78" s="364" t="n"/>
      <c r="U78" s="364" t="n"/>
      <c r="V78" s="364" t="n"/>
      <c r="W78" s="364" t="n"/>
      <c r="X78" s="364" t="n"/>
      <c r="Y78" s="364" t="n"/>
      <c r="Z78" s="364" t="n"/>
    </row>
    <row r="79">
      <c r="A79" s="364" t="n"/>
      <c r="B79" s="364" t="n"/>
      <c r="C79" s="364" t="n"/>
      <c r="D79" s="364" t="n"/>
      <c r="E79" s="364" t="n"/>
      <c r="F79" s="364" t="n"/>
      <c r="G79" s="364" t="n"/>
      <c r="H79" s="364" t="n"/>
      <c r="I79" s="364" t="n"/>
      <c r="J79" s="364" t="n"/>
      <c r="K79" s="364" t="n"/>
      <c r="L79" s="364" t="n"/>
      <c r="M79" s="364" t="n"/>
      <c r="N79" s="364" t="n"/>
      <c r="O79" s="364" t="n"/>
      <c r="P79" s="364" t="n"/>
      <c r="Q79" s="364" t="n"/>
      <c r="R79" s="364" t="n"/>
      <c r="S79" s="364" t="n"/>
      <c r="T79" s="364" t="n"/>
      <c r="U79" s="364" t="n"/>
      <c r="V79" s="364" t="n"/>
      <c r="W79" s="364" t="n"/>
      <c r="X79" s="364" t="n"/>
      <c r="Y79" s="364" t="n"/>
      <c r="Z79" s="364" t="n"/>
    </row>
    <row r="80">
      <c r="A80" s="364" t="n"/>
      <c r="B80" s="364" t="n"/>
      <c r="C80" s="364" t="n"/>
      <c r="D80" s="364" t="n"/>
      <c r="E80" s="364" t="n"/>
      <c r="F80" s="364" t="n"/>
      <c r="G80" s="364" t="n"/>
      <c r="H80" s="364" t="n"/>
      <c r="I80" s="364" t="n"/>
      <c r="J80" s="364" t="n"/>
      <c r="K80" s="364" t="n"/>
      <c r="L80" s="364" t="n"/>
      <c r="M80" s="364" t="n"/>
      <c r="N80" s="364" t="n"/>
      <c r="O80" s="364" t="n"/>
      <c r="P80" s="364" t="n"/>
      <c r="Q80" s="364" t="n"/>
      <c r="R80" s="364" t="n"/>
      <c r="S80" s="364" t="n"/>
      <c r="T80" s="364" t="n"/>
      <c r="U80" s="364" t="n"/>
      <c r="V80" s="364" t="n"/>
      <c r="W80" s="364" t="n"/>
      <c r="X80" s="364" t="n"/>
      <c r="Y80" s="364" t="n"/>
      <c r="Z80" s="364" t="n"/>
    </row>
    <row r="81">
      <c r="A81" s="364" t="n"/>
      <c r="B81" s="364" t="n"/>
      <c r="C81" s="364" t="n"/>
      <c r="D81" s="364" t="n"/>
      <c r="E81" s="364" t="n"/>
      <c r="F81" s="364" t="n"/>
      <c r="G81" s="364" t="n"/>
      <c r="H81" s="364" t="n"/>
      <c r="I81" s="364" t="n"/>
      <c r="J81" s="364" t="n"/>
      <c r="K81" s="364" t="n"/>
      <c r="L81" s="364" t="n"/>
      <c r="M81" s="364" t="n"/>
      <c r="N81" s="364" t="n"/>
      <c r="O81" s="364" t="n"/>
      <c r="P81" s="364" t="n"/>
      <c r="Q81" s="364" t="n"/>
      <c r="R81" s="364" t="n"/>
      <c r="S81" s="364" t="n"/>
      <c r="T81" s="364" t="n"/>
      <c r="U81" s="364" t="n"/>
      <c r="V81" s="364" t="n"/>
      <c r="W81" s="364" t="n"/>
      <c r="X81" s="364" t="n"/>
      <c r="Y81" s="364" t="n"/>
      <c r="Z81" s="364" t="n"/>
    </row>
    <row r="82">
      <c r="A82" s="364" t="n"/>
      <c r="B82" s="364" t="n"/>
      <c r="C82" s="364" t="n"/>
      <c r="D82" s="364" t="n"/>
      <c r="E82" s="364" t="n"/>
      <c r="F82" s="364" t="n"/>
      <c r="G82" s="364" t="n"/>
      <c r="H82" s="364" t="n"/>
      <c r="I82" s="364" t="n"/>
      <c r="J82" s="364" t="n"/>
      <c r="K82" s="364" t="n"/>
      <c r="L82" s="364" t="n"/>
      <c r="M82" s="364" t="n"/>
      <c r="N82" s="364" t="n"/>
      <c r="O82" s="364" t="n"/>
      <c r="P82" s="364" t="n"/>
      <c r="Q82" s="364" t="n"/>
      <c r="R82" s="364" t="n"/>
      <c r="S82" s="364" t="n"/>
      <c r="T82" s="364" t="n"/>
      <c r="U82" s="364" t="n"/>
      <c r="V82" s="364" t="n"/>
      <c r="W82" s="364" t="n"/>
      <c r="X82" s="364" t="n"/>
      <c r="Y82" s="364" t="n"/>
      <c r="Z82" s="364" t="n"/>
    </row>
    <row r="83">
      <c r="A83" s="364" t="n"/>
      <c r="B83" s="364" t="n"/>
      <c r="C83" s="364" t="n"/>
      <c r="D83" s="364" t="n"/>
      <c r="E83" s="364" t="n"/>
      <c r="F83" s="364" t="n"/>
      <c r="G83" s="364" t="n"/>
      <c r="H83" s="364" t="n"/>
      <c r="I83" s="364" t="n"/>
      <c r="J83" s="364" t="n"/>
      <c r="K83" s="364" t="n"/>
      <c r="L83" s="364" t="n"/>
      <c r="M83" s="364" t="n"/>
      <c r="N83" s="364" t="n"/>
      <c r="O83" s="364" t="n"/>
      <c r="P83" s="364" t="n"/>
      <c r="Q83" s="364" t="n"/>
      <c r="R83" s="364" t="n"/>
      <c r="S83" s="364" t="n"/>
      <c r="T83" s="364" t="n"/>
      <c r="U83" s="364" t="n"/>
      <c r="V83" s="364" t="n"/>
      <c r="W83" s="364" t="n"/>
      <c r="X83" s="364" t="n"/>
      <c r="Y83" s="364" t="n"/>
      <c r="Z83" s="364" t="n"/>
    </row>
    <row r="84">
      <c r="A84" s="364" t="n"/>
      <c r="B84" s="364" t="n"/>
      <c r="C84" s="364" t="n"/>
      <c r="D84" s="364" t="n"/>
      <c r="E84" s="364" t="n"/>
      <c r="F84" s="364" t="n"/>
      <c r="G84" s="364" t="n"/>
      <c r="H84" s="364" t="n"/>
      <c r="I84" s="364" t="n"/>
      <c r="J84" s="364" t="n"/>
      <c r="K84" s="364" t="n"/>
      <c r="L84" s="364" t="n"/>
      <c r="M84" s="364" t="n"/>
      <c r="N84" s="364" t="n"/>
      <c r="O84" s="364" t="n"/>
      <c r="P84" s="364" t="n"/>
      <c r="Q84" s="364" t="n"/>
      <c r="R84" s="364" t="n"/>
      <c r="S84" s="364" t="n"/>
      <c r="T84" s="364" t="n"/>
      <c r="U84" s="364" t="n"/>
      <c r="V84" s="364" t="n"/>
      <c r="W84" s="364" t="n"/>
      <c r="X84" s="364" t="n"/>
      <c r="Y84" s="364" t="n"/>
      <c r="Z84" s="364" t="n"/>
    </row>
    <row r="85">
      <c r="A85" s="364" t="n"/>
      <c r="B85" s="364" t="n"/>
      <c r="C85" s="364" t="n"/>
      <c r="D85" s="364" t="n"/>
      <c r="E85" s="364" t="n"/>
      <c r="F85" s="364" t="n"/>
      <c r="G85" s="364" t="n"/>
      <c r="H85" s="364" t="n"/>
      <c r="I85" s="364" t="n"/>
      <c r="J85" s="364" t="n"/>
      <c r="K85" s="364" t="n"/>
      <c r="L85" s="364" t="n"/>
      <c r="M85" s="364" t="n"/>
      <c r="N85" s="364" t="n"/>
      <c r="O85" s="364" t="n"/>
      <c r="P85" s="364" t="n"/>
      <c r="Q85" s="364" t="n"/>
      <c r="R85" s="364" t="n"/>
      <c r="S85" s="364" t="n"/>
      <c r="T85" s="364" t="n"/>
      <c r="U85" s="364" t="n"/>
      <c r="V85" s="364" t="n"/>
      <c r="W85" s="364" t="n"/>
      <c r="X85" s="364" t="n"/>
      <c r="Y85" s="364" t="n"/>
      <c r="Z85" s="364" t="n"/>
    </row>
    <row r="86">
      <c r="A86" s="364" t="n"/>
      <c r="B86" s="364" t="n"/>
      <c r="C86" s="364" t="n"/>
      <c r="D86" s="364" t="n"/>
      <c r="E86" s="364" t="n"/>
      <c r="F86" s="364" t="n"/>
      <c r="G86" s="364" t="n"/>
      <c r="H86" s="364" t="n"/>
      <c r="I86" s="364" t="n"/>
      <c r="J86" s="364" t="n"/>
      <c r="K86" s="364" t="n"/>
      <c r="L86" s="364" t="n"/>
      <c r="M86" s="364" t="n"/>
      <c r="N86" s="364" t="n"/>
      <c r="O86" s="364" t="n"/>
      <c r="P86" s="364" t="n"/>
      <c r="Q86" s="364" t="n"/>
      <c r="R86" s="364" t="n"/>
      <c r="S86" s="364" t="n"/>
      <c r="T86" s="364" t="n"/>
      <c r="U86" s="364" t="n"/>
      <c r="V86" s="364" t="n"/>
      <c r="W86" s="364" t="n"/>
      <c r="X86" s="364" t="n"/>
      <c r="Y86" s="364" t="n"/>
      <c r="Z86" s="364" t="n"/>
    </row>
    <row r="87">
      <c r="A87" s="364" t="n"/>
      <c r="B87" s="364" t="n"/>
      <c r="C87" s="364" t="n"/>
      <c r="D87" s="364" t="n"/>
      <c r="E87" s="364" t="n"/>
      <c r="F87" s="364" t="n"/>
      <c r="G87" s="364" t="n"/>
      <c r="H87" s="364" t="n"/>
      <c r="I87" s="364" t="n"/>
      <c r="J87" s="364" t="n"/>
      <c r="K87" s="364" t="n"/>
      <c r="L87" s="364" t="n"/>
      <c r="M87" s="364" t="n"/>
      <c r="N87" s="364" t="n"/>
      <c r="O87" s="364" t="n"/>
      <c r="P87" s="364" t="n"/>
      <c r="Q87" s="364" t="n"/>
      <c r="R87" s="364" t="n"/>
      <c r="S87" s="364" t="n"/>
      <c r="T87" s="364" t="n"/>
      <c r="U87" s="364" t="n"/>
      <c r="V87" s="364" t="n"/>
      <c r="W87" s="364" t="n"/>
      <c r="X87" s="364" t="n"/>
      <c r="Y87" s="364" t="n"/>
      <c r="Z87" s="364" t="n"/>
    </row>
    <row r="88">
      <c r="A88" s="364" t="n"/>
      <c r="B88" s="364" t="n"/>
      <c r="C88" s="364" t="n"/>
      <c r="D88" s="364" t="n"/>
      <c r="E88" s="364" t="n"/>
      <c r="F88" s="364" t="n"/>
      <c r="G88" s="364" t="n"/>
      <c r="H88" s="364" t="n"/>
      <c r="I88" s="364" t="n"/>
      <c r="J88" s="364" t="n"/>
      <c r="K88" s="364" t="n"/>
      <c r="L88" s="364" t="n"/>
      <c r="M88" s="364" t="n"/>
      <c r="N88" s="364" t="n"/>
      <c r="O88" s="364" t="n"/>
      <c r="P88" s="364" t="n"/>
      <c r="Q88" s="364" t="n"/>
      <c r="R88" s="364" t="n"/>
      <c r="S88" s="364" t="n"/>
      <c r="T88" s="364" t="n"/>
      <c r="U88" s="364" t="n"/>
      <c r="V88" s="364" t="n"/>
      <c r="W88" s="364" t="n"/>
      <c r="X88" s="364" t="n"/>
      <c r="Y88" s="364" t="n"/>
      <c r="Z88" s="364" t="n"/>
    </row>
    <row r="89">
      <c r="A89" s="364" t="n"/>
      <c r="B89" s="364" t="n"/>
      <c r="C89" s="364" t="n"/>
      <c r="D89" s="364" t="n"/>
      <c r="E89" s="364" t="n"/>
      <c r="F89" s="364" t="n"/>
      <c r="G89" s="364" t="n"/>
      <c r="H89" s="364" t="n"/>
      <c r="I89" s="364" t="n"/>
      <c r="J89" s="364" t="n"/>
      <c r="K89" s="364" t="n"/>
      <c r="L89" s="364" t="n"/>
      <c r="M89" s="364" t="n"/>
      <c r="N89" s="364" t="n"/>
      <c r="O89" s="364" t="n"/>
      <c r="P89" s="364" t="n"/>
      <c r="Q89" s="364" t="n"/>
      <c r="R89" s="364" t="n"/>
      <c r="S89" s="364" t="n"/>
      <c r="T89" s="364" t="n"/>
      <c r="U89" s="364" t="n"/>
      <c r="V89" s="364" t="n"/>
      <c r="W89" s="364" t="n"/>
      <c r="X89" s="364" t="n"/>
      <c r="Y89" s="364" t="n"/>
      <c r="Z89" s="364" t="n"/>
    </row>
    <row r="90">
      <c r="A90" s="364" t="n"/>
      <c r="B90" s="364" t="n"/>
      <c r="C90" s="364" t="n"/>
      <c r="D90" s="364" t="n"/>
      <c r="E90" s="364" t="n"/>
      <c r="F90" s="364" t="n"/>
      <c r="G90" s="364" t="n"/>
      <c r="H90" s="364" t="n"/>
      <c r="I90" s="364" t="n"/>
      <c r="J90" s="364" t="n"/>
      <c r="K90" s="364" t="n"/>
      <c r="L90" s="364" t="n"/>
      <c r="M90" s="364" t="n"/>
      <c r="N90" s="364" t="n"/>
      <c r="O90" s="364" t="n"/>
      <c r="P90" s="364" t="n"/>
      <c r="Q90" s="364" t="n"/>
      <c r="R90" s="364" t="n"/>
      <c r="S90" s="364" t="n"/>
      <c r="T90" s="364" t="n"/>
      <c r="U90" s="364" t="n"/>
      <c r="V90" s="364" t="n"/>
      <c r="W90" s="364" t="n"/>
      <c r="X90" s="364" t="n"/>
      <c r="Y90" s="364" t="n"/>
      <c r="Z90" s="364" t="n"/>
    </row>
    <row r="91">
      <c r="A91" s="364" t="n"/>
      <c r="B91" s="364" t="n"/>
      <c r="C91" s="364" t="n"/>
      <c r="D91" s="364" t="n"/>
      <c r="E91" s="364" t="n"/>
      <c r="F91" s="364" t="n"/>
      <c r="G91" s="364" t="n"/>
      <c r="H91" s="364" t="n"/>
      <c r="I91" s="364" t="n"/>
      <c r="J91" s="364" t="n"/>
      <c r="K91" s="364" t="n"/>
      <c r="L91" s="364" t="n"/>
      <c r="M91" s="364" t="n"/>
      <c r="N91" s="364" t="n"/>
      <c r="O91" s="364" t="n"/>
      <c r="P91" s="364" t="n"/>
      <c r="Q91" s="364" t="n"/>
      <c r="R91" s="364" t="n"/>
      <c r="S91" s="364" t="n"/>
      <c r="T91" s="364" t="n"/>
      <c r="U91" s="364" t="n"/>
      <c r="V91" s="364" t="n"/>
      <c r="W91" s="364" t="n"/>
      <c r="X91" s="364" t="n"/>
      <c r="Y91" s="364" t="n"/>
      <c r="Z91" s="364" t="n"/>
    </row>
    <row r="92">
      <c r="A92" s="364" t="n"/>
      <c r="B92" s="364" t="n"/>
      <c r="C92" s="364" t="n"/>
      <c r="D92" s="364" t="n"/>
      <c r="E92" s="364" t="n"/>
      <c r="F92" s="364" t="n"/>
      <c r="G92" s="364" t="n"/>
      <c r="H92" s="364" t="n"/>
      <c r="I92" s="364" t="n"/>
      <c r="J92" s="364" t="n"/>
      <c r="K92" s="364" t="n"/>
      <c r="L92" s="364" t="n"/>
      <c r="M92" s="364" t="n"/>
      <c r="N92" s="364" t="n"/>
      <c r="O92" s="364" t="n"/>
      <c r="P92" s="364" t="n"/>
      <c r="Q92" s="364" t="n"/>
      <c r="R92" s="364" t="n"/>
      <c r="S92" s="364" t="n"/>
      <c r="T92" s="364" t="n"/>
      <c r="U92" s="364" t="n"/>
      <c r="V92" s="364" t="n"/>
      <c r="W92" s="364" t="n"/>
      <c r="X92" s="364" t="n"/>
      <c r="Y92" s="364" t="n"/>
      <c r="Z92" s="364" t="n"/>
    </row>
    <row r="93">
      <c r="A93" s="364" t="n"/>
      <c r="B93" s="364" t="n"/>
      <c r="C93" s="364" t="n"/>
      <c r="D93" s="364" t="n"/>
      <c r="E93" s="364" t="n"/>
      <c r="F93" s="364" t="n"/>
      <c r="G93" s="364" t="n"/>
      <c r="H93" s="364" t="n"/>
      <c r="I93" s="364" t="n"/>
      <c r="J93" s="364" t="n"/>
      <c r="K93" s="364" t="n"/>
      <c r="L93" s="364" t="n"/>
      <c r="M93" s="364" t="n"/>
      <c r="N93" s="364" t="n"/>
      <c r="O93" s="364" t="n"/>
      <c r="P93" s="364" t="n"/>
      <c r="Q93" s="364" t="n"/>
      <c r="R93" s="364" t="n"/>
      <c r="S93" s="364" t="n"/>
      <c r="T93" s="364" t="n"/>
      <c r="U93" s="364" t="n"/>
      <c r="V93" s="364" t="n"/>
      <c r="W93" s="364" t="n"/>
      <c r="X93" s="364" t="n"/>
      <c r="Y93" s="364" t="n"/>
      <c r="Z93" s="364" t="n"/>
    </row>
    <row r="94">
      <c r="A94" s="364" t="n"/>
      <c r="B94" s="364" t="n"/>
      <c r="C94" s="364" t="n"/>
      <c r="D94" s="364" t="n"/>
      <c r="E94" s="364" t="n"/>
      <c r="F94" s="364" t="n"/>
      <c r="G94" s="364" t="n"/>
      <c r="H94" s="364" t="n"/>
      <c r="I94" s="364" t="n"/>
      <c r="J94" s="364" t="n"/>
      <c r="K94" s="364" t="n"/>
      <c r="L94" s="364" t="n"/>
      <c r="M94" s="364" t="n"/>
      <c r="N94" s="364" t="n"/>
      <c r="O94" s="364" t="n"/>
      <c r="P94" s="364" t="n"/>
      <c r="Q94" s="364" t="n"/>
      <c r="R94" s="364" t="n"/>
      <c r="S94" s="364" t="n"/>
      <c r="T94" s="364" t="n"/>
      <c r="U94" s="364" t="n"/>
      <c r="V94" s="364" t="n"/>
      <c r="W94" s="364" t="n"/>
      <c r="X94" s="364" t="n"/>
      <c r="Y94" s="364" t="n"/>
      <c r="Z94" s="364" t="n"/>
    </row>
    <row r="95">
      <c r="A95" s="364" t="n"/>
      <c r="B95" s="364" t="n"/>
      <c r="C95" s="364" t="n"/>
      <c r="D95" s="364" t="n"/>
      <c r="E95" s="364" t="n"/>
      <c r="F95" s="364" t="n"/>
      <c r="G95" s="364" t="n"/>
      <c r="H95" s="364" t="n"/>
      <c r="I95" s="364" t="n"/>
      <c r="J95" s="364" t="n"/>
      <c r="K95" s="364" t="n"/>
      <c r="L95" s="364" t="n"/>
      <c r="M95" s="364" t="n"/>
      <c r="N95" s="364" t="n"/>
      <c r="O95" s="364" t="n"/>
      <c r="P95" s="364" t="n"/>
      <c r="Q95" s="364" t="n"/>
      <c r="R95" s="364" t="n"/>
      <c r="S95" s="364" t="n"/>
      <c r="T95" s="364" t="n"/>
      <c r="U95" s="364" t="n"/>
      <c r="V95" s="364" t="n"/>
      <c r="W95" s="364" t="n"/>
      <c r="X95" s="364" t="n"/>
      <c r="Y95" s="364" t="n"/>
      <c r="Z95" s="364" t="n"/>
    </row>
    <row r="96">
      <c r="A96" s="364" t="n"/>
      <c r="B96" s="364" t="n"/>
      <c r="C96" s="364" t="n"/>
      <c r="D96" s="364" t="n"/>
      <c r="E96" s="364" t="n"/>
      <c r="F96" s="364" t="n"/>
      <c r="G96" s="364" t="n"/>
      <c r="H96" s="364" t="n"/>
      <c r="I96" s="364" t="n"/>
      <c r="J96" s="364" t="n"/>
      <c r="K96" s="364" t="n"/>
      <c r="L96" s="364" t="n"/>
      <c r="M96" s="364" t="n"/>
      <c r="N96" s="364" t="n"/>
      <c r="O96" s="364" t="n"/>
      <c r="P96" s="364" t="n"/>
      <c r="Q96" s="364" t="n"/>
      <c r="R96" s="364" t="n"/>
      <c r="S96" s="364" t="n"/>
      <c r="T96" s="364" t="n"/>
      <c r="U96" s="364" t="n"/>
      <c r="V96" s="364" t="n"/>
      <c r="W96" s="364" t="n"/>
      <c r="X96" s="364" t="n"/>
      <c r="Y96" s="364" t="n"/>
      <c r="Z96" s="364" t="n"/>
    </row>
    <row r="97">
      <c r="A97" s="364" t="n"/>
      <c r="B97" s="364" t="n"/>
      <c r="C97" s="364" t="n"/>
      <c r="D97" s="364" t="n"/>
      <c r="E97" s="364" t="n"/>
      <c r="F97" s="364" t="n"/>
      <c r="G97" s="364" t="n"/>
      <c r="H97" s="364" t="n"/>
      <c r="I97" s="364" t="n"/>
      <c r="J97" s="364" t="n"/>
      <c r="K97" s="364" t="n"/>
      <c r="L97" s="364" t="n"/>
      <c r="M97" s="364" t="n"/>
      <c r="N97" s="364" t="n"/>
      <c r="O97" s="364" t="n"/>
      <c r="P97" s="364" t="n"/>
      <c r="Q97" s="364" t="n"/>
      <c r="R97" s="364" t="n"/>
      <c r="S97" s="364" t="n"/>
      <c r="T97" s="364" t="n"/>
      <c r="U97" s="364" t="n"/>
      <c r="V97" s="364" t="n"/>
      <c r="W97" s="364" t="n"/>
      <c r="X97" s="364" t="n"/>
      <c r="Y97" s="364" t="n"/>
      <c r="Z97" s="364" t="n"/>
    </row>
    <row r="98">
      <c r="A98" s="364" t="n"/>
      <c r="B98" s="364" t="n"/>
      <c r="C98" s="364" t="n"/>
      <c r="D98" s="364" t="n"/>
      <c r="E98" s="364" t="n"/>
      <c r="F98" s="364" t="n"/>
      <c r="G98" s="364" t="n"/>
      <c r="H98" s="364" t="n"/>
      <c r="I98" s="364" t="n"/>
      <c r="J98" s="364" t="n"/>
      <c r="K98" s="364" t="n"/>
      <c r="L98" s="364" t="n"/>
      <c r="M98" s="364" t="n"/>
      <c r="N98" s="364" t="n"/>
      <c r="O98" s="364" t="n"/>
      <c r="P98" s="364" t="n"/>
      <c r="Q98" s="364" t="n"/>
      <c r="R98" s="364" t="n"/>
      <c r="S98" s="364" t="n"/>
      <c r="T98" s="364" t="n"/>
      <c r="U98" s="364" t="n"/>
      <c r="V98" s="364" t="n"/>
      <c r="W98" s="364" t="n"/>
      <c r="X98" s="364" t="n"/>
      <c r="Y98" s="364" t="n"/>
      <c r="Z98" s="364" t="n"/>
    </row>
    <row r="99">
      <c r="A99" s="364" t="n"/>
      <c r="B99" s="364" t="n"/>
      <c r="C99" s="364" t="n"/>
      <c r="D99" s="364" t="n"/>
      <c r="E99" s="364" t="n"/>
      <c r="F99" s="364" t="n"/>
      <c r="G99" s="364" t="n"/>
      <c r="H99" s="364" t="n"/>
      <c r="I99" s="364" t="n"/>
      <c r="J99" s="364" t="n"/>
      <c r="K99" s="364" t="n"/>
      <c r="L99" s="364" t="n"/>
      <c r="M99" s="364" t="n"/>
      <c r="N99" s="364" t="n"/>
      <c r="O99" s="364" t="n"/>
      <c r="P99" s="364" t="n"/>
      <c r="Q99" s="364" t="n"/>
      <c r="R99" s="364" t="n"/>
      <c r="S99" s="364" t="n"/>
      <c r="T99" s="364" t="n"/>
      <c r="U99" s="364" t="n"/>
      <c r="V99" s="364" t="n"/>
      <c r="W99" s="364" t="n"/>
      <c r="X99" s="364" t="n"/>
      <c r="Y99" s="364" t="n"/>
      <c r="Z99" s="364" t="n"/>
    </row>
    <row r="100">
      <c r="A100" s="364" t="n"/>
      <c r="B100" s="364" t="n"/>
      <c r="C100" s="364" t="n"/>
      <c r="D100" s="364" t="n"/>
      <c r="E100" s="364" t="n"/>
      <c r="F100" s="364" t="n"/>
      <c r="G100" s="364" t="n"/>
      <c r="H100" s="364" t="n"/>
      <c r="I100" s="364" t="n"/>
      <c r="J100" s="364" t="n"/>
      <c r="K100" s="364" t="n"/>
      <c r="L100" s="364" t="n"/>
      <c r="M100" s="364" t="n"/>
      <c r="N100" s="364" t="n"/>
      <c r="O100" s="364" t="n"/>
      <c r="P100" s="364" t="n"/>
      <c r="Q100" s="364" t="n"/>
      <c r="R100" s="364" t="n"/>
      <c r="S100" s="364" t="n"/>
      <c r="T100" s="364" t="n"/>
      <c r="U100" s="364" t="n"/>
      <c r="V100" s="364" t="n"/>
      <c r="W100" s="364" t="n"/>
      <c r="X100" s="364" t="n"/>
      <c r="Y100" s="364" t="n"/>
      <c r="Z100" s="364" t="n"/>
    </row>
  </sheetData>
  <mergeCells count="3">
    <mergeCell ref="A1:D1"/>
    <mergeCell ref="A4:D4"/>
    <mergeCell ref="A2:D2"/>
  </mergeCells>
  <pageMargins left="0.7" right="0.7" top="0.75" bottom="0.75" header="0.3" footer="0.3"/>
  <pageSetup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00"/>
  <sheetViews>
    <sheetView showGridLines="0" workbookViewId="0">
      <selection activeCell="A1" sqref="A1"/>
    </sheetView>
  </sheetViews>
  <sheetFormatPr baseColWidth="8" defaultRowHeight="15"/>
  <cols>
    <col width="24" customWidth="1" style="34" min="1" max="1"/>
    <col width="36" customWidth="1" style="34" min="2" max="2"/>
    <col width="28" customWidth="1" style="34" min="3" max="3"/>
    <col width="52" customWidth="1" style="34" min="4" max="4"/>
  </cols>
  <sheetData>
    <row r="1" ht="19.20000076293945" customHeight="1" s="34">
      <c r="A1" s="567" t="inlineStr">
        <is>
          <t>Methodology &amp; Finance Model Conventions</t>
        </is>
      </c>
      <c r="B1" s="1" t="n"/>
      <c r="C1" s="1" t="n"/>
      <c r="D1" s="1" t="n"/>
      <c r="E1" s="566" t="n"/>
      <c r="F1" s="566" t="n"/>
      <c r="G1" s="566" t="n"/>
      <c r="H1" s="566" t="n"/>
      <c r="I1" s="566" t="n"/>
      <c r="J1" s="566" t="n"/>
      <c r="K1" s="566" t="n"/>
      <c r="L1" s="566" t="n"/>
      <c r="M1" s="566" t="n"/>
      <c r="N1" s="566" t="n"/>
      <c r="O1" s="566" t="n"/>
      <c r="P1" s="566" t="n"/>
      <c r="Q1" s="566" t="n"/>
      <c r="R1" s="566" t="n"/>
      <c r="S1" s="566" t="n"/>
      <c r="T1" s="566" t="n"/>
      <c r="U1" s="566" t="n"/>
      <c r="V1" s="566" t="n"/>
      <c r="W1" s="566" t="n"/>
      <c r="X1" s="566" t="n"/>
      <c r="Y1" s="566" t="n"/>
      <c r="Z1" s="566" t="n"/>
    </row>
    <row r="2" ht="15" customHeight="1" s="34">
      <c r="A2" s="522" t="inlineStr">
        <is>
          <t>Explains the structure, color logic, and limitations of this projection model.</t>
        </is>
      </c>
      <c r="B2" s="1" t="n"/>
      <c r="C2" s="1" t="n"/>
      <c r="D2" s="1" t="n"/>
      <c r="E2" s="364" t="n"/>
      <c r="F2" s="364" t="n"/>
      <c r="G2" s="364" t="n"/>
      <c r="H2" s="364" t="n"/>
      <c r="I2" s="364" t="n"/>
      <c r="J2" s="364" t="n"/>
      <c r="K2" s="364" t="n"/>
      <c r="L2" s="364" t="n"/>
      <c r="M2" s="364" t="n"/>
      <c r="N2" s="364" t="n"/>
      <c r="O2" s="364" t="n"/>
      <c r="P2" s="364" t="n"/>
      <c r="Q2" s="364" t="n"/>
      <c r="R2" s="364" t="n"/>
      <c r="S2" s="364" t="n"/>
      <c r="T2" s="364" t="n"/>
      <c r="U2" s="364" t="n"/>
      <c r="V2" s="364" t="n"/>
      <c r="W2" s="364" t="n"/>
      <c r="X2" s="364" t="n"/>
      <c r="Y2" s="364" t="n"/>
      <c r="Z2" s="364" t="n"/>
    </row>
    <row r="3" ht="15" customHeight="1" s="34">
      <c r="A3" s="364" t="n"/>
      <c r="B3" s="364" t="n"/>
      <c r="C3" s="364" t="n"/>
      <c r="D3" s="364" t="n"/>
      <c r="E3" s="364" t="n"/>
      <c r="F3" s="364" t="n"/>
      <c r="G3" s="364" t="n"/>
      <c r="H3" s="364" t="n"/>
      <c r="I3" s="364" t="n"/>
      <c r="J3" s="364" t="n"/>
      <c r="K3" s="364" t="n"/>
      <c r="L3" s="364" t="n"/>
      <c r="M3" s="364" t="n"/>
      <c r="N3" s="364" t="n"/>
      <c r="O3" s="364" t="n"/>
      <c r="P3" s="364" t="n"/>
      <c r="Q3" s="364" t="n"/>
      <c r="R3" s="364" t="n"/>
      <c r="S3" s="364" t="n"/>
      <c r="T3" s="364" t="n"/>
      <c r="U3" s="364" t="n"/>
      <c r="V3" s="364" t="n"/>
      <c r="W3" s="364" t="n"/>
      <c r="X3" s="364" t="n"/>
      <c r="Y3" s="364" t="n"/>
      <c r="Z3" s="364" t="n"/>
    </row>
    <row r="4" ht="15" customHeight="1" s="34">
      <c r="A4" s="523" t="inlineStr">
        <is>
          <t>Model Architecture</t>
        </is>
      </c>
      <c r="B4" s="1" t="n"/>
      <c r="C4" s="1" t="n"/>
      <c r="D4" s="1" t="n"/>
      <c r="E4" s="364" t="n"/>
      <c r="F4" s="364" t="n"/>
      <c r="G4" s="364" t="n"/>
      <c r="H4" s="364" t="n"/>
      <c r="I4" s="364" t="n"/>
      <c r="J4" s="364" t="n"/>
      <c r="K4" s="364" t="n"/>
      <c r="L4" s="364" t="n"/>
      <c r="M4" s="364" t="n"/>
      <c r="N4" s="364" t="n"/>
      <c r="O4" s="364" t="n"/>
      <c r="P4" s="364" t="n"/>
      <c r="Q4" s="364" t="n"/>
      <c r="R4" s="364" t="n"/>
      <c r="S4" s="364" t="n"/>
      <c r="T4" s="364" t="n"/>
      <c r="U4" s="364" t="n"/>
      <c r="V4" s="364" t="n"/>
      <c r="W4" s="364" t="n"/>
      <c r="X4" s="364" t="n"/>
      <c r="Y4" s="364" t="n"/>
      <c r="Z4" s="364" t="n"/>
    </row>
    <row r="5" ht="15" customHeight="1" s="34">
      <c r="A5" s="503" t="inlineStr">
        <is>
          <t>Section</t>
        </is>
      </c>
      <c r="B5" s="504" t="inlineStr">
        <is>
          <t>Purpose</t>
        </is>
      </c>
      <c r="C5" s="504" t="inlineStr">
        <is>
          <t>Finance Standard Applied</t>
        </is>
      </c>
      <c r="D5" s="505" t="inlineStr">
        <is>
          <t>Notes</t>
        </is>
      </c>
      <c r="E5" s="364" t="n"/>
      <c r="F5" s="364" t="n"/>
      <c r="G5" s="364" t="n"/>
      <c r="H5" s="364" t="n"/>
      <c r="I5" s="364" t="n"/>
      <c r="J5" s="364" t="n"/>
      <c r="K5" s="364" t="n"/>
      <c r="L5" s="364" t="n"/>
      <c r="M5" s="364" t="n"/>
      <c r="N5" s="364" t="n"/>
      <c r="O5" s="364" t="n"/>
      <c r="P5" s="364" t="n"/>
      <c r="Q5" s="364" t="n"/>
      <c r="R5" s="364" t="n"/>
      <c r="S5" s="364" t="n"/>
      <c r="T5" s="364" t="n"/>
      <c r="U5" s="364" t="n"/>
      <c r="V5" s="364" t="n"/>
      <c r="W5" s="364" t="n"/>
      <c r="X5" s="364" t="n"/>
      <c r="Y5" s="364" t="n"/>
      <c r="Z5" s="364" t="n"/>
    </row>
    <row r="6" ht="24" customHeight="1" s="34">
      <c r="A6" s="506" t="inlineStr">
        <is>
          <t>Assumptions</t>
        </is>
      </c>
      <c r="B6" s="519" t="inlineStr">
        <is>
          <t>Centralizes all editable inputs.</t>
        </is>
      </c>
      <c r="C6" s="519" t="inlineStr">
        <is>
          <t>Hardcoded inputs in blue; key drivers highlighted yellow.</t>
        </is>
      </c>
      <c r="D6" s="509" t="inlineStr">
        <is>
          <t>Avoids burying assumptions in formulas.</t>
        </is>
      </c>
      <c r="E6" s="364" t="n"/>
      <c r="F6" s="364" t="n"/>
      <c r="G6" s="364" t="n"/>
      <c r="H6" s="364" t="n"/>
      <c r="I6" s="364" t="n"/>
      <c r="J6" s="364" t="n"/>
      <c r="K6" s="364" t="n"/>
      <c r="L6" s="364" t="n"/>
      <c r="M6" s="364" t="n"/>
      <c r="N6" s="364" t="n"/>
      <c r="O6" s="364" t="n"/>
      <c r="P6" s="364" t="n"/>
      <c r="Q6" s="364" t="n"/>
      <c r="R6" s="364" t="n"/>
      <c r="S6" s="364" t="n"/>
      <c r="T6" s="364" t="n"/>
      <c r="U6" s="364" t="n"/>
      <c r="V6" s="364" t="n"/>
      <c r="W6" s="364" t="n"/>
      <c r="X6" s="364" t="n"/>
      <c r="Y6" s="364" t="n"/>
      <c r="Z6" s="364" t="n"/>
    </row>
    <row r="7" ht="15" customHeight="1" s="34">
      <c r="A7" s="506" t="inlineStr">
        <is>
          <t>Financial Model</t>
        </is>
      </c>
      <c r="B7" s="519" t="inlineStr">
        <is>
          <t>Calculates revenue, margins, OpEx, profit, and cash.</t>
        </is>
      </c>
      <c r="C7" s="519" t="inlineStr">
        <is>
          <t>Formula-driven calculations in black.</t>
        </is>
      </c>
      <c r="D7" s="509" t="inlineStr">
        <is>
          <t>Built as a clean 3-year projection.</t>
        </is>
      </c>
      <c r="E7" s="364" t="n"/>
      <c r="F7" s="364" t="n"/>
      <c r="G7" s="364" t="n"/>
      <c r="H7" s="364" t="n"/>
      <c r="I7" s="364" t="n"/>
      <c r="J7" s="364" t="n"/>
      <c r="K7" s="364" t="n"/>
      <c r="L7" s="364" t="n"/>
      <c r="M7" s="364" t="n"/>
      <c r="N7" s="364" t="n"/>
      <c r="O7" s="364" t="n"/>
      <c r="P7" s="364" t="n"/>
      <c r="Q7" s="364" t="n"/>
      <c r="R7" s="364" t="n"/>
      <c r="S7" s="364" t="n"/>
      <c r="T7" s="364" t="n"/>
      <c r="U7" s="364" t="n"/>
      <c r="V7" s="364" t="n"/>
      <c r="W7" s="364" t="n"/>
      <c r="X7" s="364" t="n"/>
      <c r="Y7" s="364" t="n"/>
      <c r="Z7" s="364" t="n"/>
    </row>
    <row r="8" ht="15" customHeight="1" s="34">
      <c r="A8" s="506" t="inlineStr">
        <is>
          <t>Dashboard</t>
        </is>
      </c>
      <c r="B8" s="519" t="inlineStr">
        <is>
          <t>Summarizes KPIs and investor readiness.</t>
        </is>
      </c>
      <c r="C8" s="519" t="inlineStr">
        <is>
          <t>Linked outputs in green.</t>
        </is>
      </c>
      <c r="D8" s="509" t="inlineStr">
        <is>
          <t>Designed for founder/investor review.</t>
        </is>
      </c>
      <c r="E8" s="364" t="n"/>
      <c r="F8" s="364" t="n"/>
      <c r="G8" s="364" t="n"/>
      <c r="H8" s="364" t="n"/>
      <c r="I8" s="364" t="n"/>
      <c r="J8" s="364" t="n"/>
      <c r="K8" s="364" t="n"/>
      <c r="L8" s="364" t="n"/>
      <c r="M8" s="364" t="n"/>
      <c r="N8" s="364" t="n"/>
      <c r="O8" s="364" t="n"/>
      <c r="P8" s="364" t="n"/>
      <c r="Q8" s="364" t="n"/>
      <c r="R8" s="364" t="n"/>
      <c r="S8" s="364" t="n"/>
      <c r="T8" s="364" t="n"/>
      <c r="U8" s="364" t="n"/>
      <c r="V8" s="364" t="n"/>
      <c r="W8" s="364" t="n"/>
      <c r="X8" s="364" t="n"/>
      <c r="Y8" s="364" t="n"/>
      <c r="Z8" s="364" t="n"/>
    </row>
    <row r="9" ht="15" customHeight="1" s="34">
      <c r="A9" s="506" t="inlineStr">
        <is>
          <t>Investor Review</t>
        </is>
      </c>
      <c r="B9" s="519" t="inlineStr">
        <is>
          <t>Translates numbers into likely investor concerns.</t>
        </is>
      </c>
      <c r="C9" s="519" t="inlineStr">
        <is>
          <t>Pressure-test framing.</t>
        </is>
      </c>
      <c r="D9" s="509" t="inlineStr">
        <is>
          <t>Focuses on supportability, not just math.</t>
        </is>
      </c>
      <c r="E9" s="364" t="n"/>
      <c r="F9" s="364" t="n"/>
      <c r="G9" s="364" t="n"/>
      <c r="H9" s="364" t="n"/>
      <c r="I9" s="364" t="n"/>
      <c r="J9" s="364" t="n"/>
      <c r="K9" s="364" t="n"/>
      <c r="L9" s="364" t="n"/>
      <c r="M9" s="364" t="n"/>
      <c r="N9" s="364" t="n"/>
      <c r="O9" s="364" t="n"/>
      <c r="P9" s="364" t="n"/>
      <c r="Q9" s="364" t="n"/>
      <c r="R9" s="364" t="n"/>
      <c r="S9" s="364" t="n"/>
      <c r="T9" s="364" t="n"/>
      <c r="U9" s="364" t="n"/>
      <c r="V9" s="364" t="n"/>
      <c r="W9" s="364" t="n"/>
      <c r="X9" s="364" t="n"/>
      <c r="Y9" s="364" t="n"/>
      <c r="Z9" s="364" t="n"/>
    </row>
    <row r="10" ht="24" customHeight="1" s="34">
      <c r="A10" s="506" t="inlineStr">
        <is>
          <t>Benchmark Feedback</t>
        </is>
      </c>
      <c r="B10" s="519" t="inlineStr">
        <is>
          <t>Compares assumptions to internal benchmark ranges.</t>
        </is>
      </c>
      <c r="C10" s="519" t="inlineStr">
        <is>
          <t>Status flags and model-risk explanation.</t>
        </is>
      </c>
      <c r="D10" s="509" t="inlineStr">
        <is>
          <t>Should be updated with real market evidence.</t>
        </is>
      </c>
      <c r="E10" s="364" t="n"/>
      <c r="F10" s="364" t="n"/>
      <c r="G10" s="364" t="n"/>
      <c r="H10" s="364" t="n"/>
      <c r="I10" s="364" t="n"/>
      <c r="J10" s="364" t="n"/>
      <c r="K10" s="364" t="n"/>
      <c r="L10" s="364" t="n"/>
      <c r="M10" s="364" t="n"/>
      <c r="N10" s="364" t="n"/>
      <c r="O10" s="364" t="n"/>
      <c r="P10" s="364" t="n"/>
      <c r="Q10" s="364" t="n"/>
      <c r="R10" s="364" t="n"/>
      <c r="S10" s="364" t="n"/>
      <c r="T10" s="364" t="n"/>
      <c r="U10" s="364" t="n"/>
      <c r="V10" s="364" t="n"/>
      <c r="W10" s="364" t="n"/>
      <c r="X10" s="364" t="n"/>
      <c r="Y10" s="364" t="n"/>
      <c r="Z10" s="364" t="n"/>
    </row>
    <row r="11" ht="24" customHeight="1" s="34">
      <c r="A11" s="513" t="inlineStr">
        <is>
          <t>Reality Engine</t>
        </is>
      </c>
      <c r="B11" s="521" t="inlineStr">
        <is>
          <t>Checks whether assumptions are believable operationally.</t>
        </is>
      </c>
      <c r="C11" s="521" t="inlineStr">
        <is>
          <t>Qualitative validation layer.</t>
        </is>
      </c>
      <c r="D11" s="517" t="inlineStr">
        <is>
          <t>Not a substitute for primary research.</t>
        </is>
      </c>
      <c r="E11" s="364" t="n"/>
      <c r="F11" s="364" t="n"/>
      <c r="G11" s="364" t="n"/>
      <c r="H11" s="364" t="n"/>
      <c r="I11" s="364" t="n"/>
      <c r="J11" s="364" t="n"/>
      <c r="K11" s="364" t="n"/>
      <c r="L11" s="364" t="n"/>
      <c r="M11" s="364" t="n"/>
      <c r="N11" s="364" t="n"/>
      <c r="O11" s="364" t="n"/>
      <c r="P11" s="364" t="n"/>
      <c r="Q11" s="364" t="n"/>
      <c r="R11" s="364" t="n"/>
      <c r="S11" s="364" t="n"/>
      <c r="T11" s="364" t="n"/>
      <c r="U11" s="364" t="n"/>
      <c r="V11" s="364" t="n"/>
      <c r="W11" s="364" t="n"/>
      <c r="X11" s="364" t="n"/>
      <c r="Y11" s="364" t="n"/>
      <c r="Z11" s="364" t="n"/>
    </row>
    <row r="12" ht="15" customHeight="1" s="34">
      <c r="A12" s="364" t="n"/>
      <c r="B12" s="364" t="n"/>
      <c r="C12" s="364" t="n"/>
      <c r="D12" s="364" t="n"/>
      <c r="E12" s="364" t="n"/>
      <c r="F12" s="364" t="n"/>
      <c r="G12" s="364" t="n"/>
      <c r="H12" s="364" t="n"/>
      <c r="I12" s="364" t="n"/>
      <c r="J12" s="364" t="n"/>
      <c r="K12" s="364" t="n"/>
      <c r="L12" s="364" t="n"/>
      <c r="M12" s="364" t="n"/>
      <c r="N12" s="364" t="n"/>
      <c r="O12" s="364" t="n"/>
      <c r="P12" s="364" t="n"/>
      <c r="Q12" s="364" t="n"/>
      <c r="R12" s="364" t="n"/>
      <c r="S12" s="364" t="n"/>
      <c r="T12" s="364" t="n"/>
      <c r="U12" s="364" t="n"/>
      <c r="V12" s="364" t="n"/>
      <c r="W12" s="364" t="n"/>
      <c r="X12" s="364" t="n"/>
      <c r="Y12" s="364" t="n"/>
      <c r="Z12" s="364" t="n"/>
    </row>
    <row r="13" ht="15" customHeight="1" s="34">
      <c r="A13" s="364" t="n"/>
      <c r="B13" s="364" t="n"/>
      <c r="C13" s="364" t="n"/>
      <c r="D13" s="364" t="n"/>
      <c r="E13" s="364" t="n"/>
      <c r="F13" s="364" t="n"/>
      <c r="G13" s="364" t="n"/>
      <c r="H13" s="364" t="n"/>
      <c r="I13" s="364" t="n"/>
      <c r="J13" s="364" t="n"/>
      <c r="K13" s="364" t="n"/>
      <c r="L13" s="364" t="n"/>
      <c r="M13" s="364" t="n"/>
      <c r="N13" s="364" t="n"/>
      <c r="O13" s="364" t="n"/>
      <c r="P13" s="364" t="n"/>
      <c r="Q13" s="364" t="n"/>
      <c r="R13" s="364" t="n"/>
      <c r="S13" s="364" t="n"/>
      <c r="T13" s="364" t="n"/>
      <c r="U13" s="364" t="n"/>
      <c r="V13" s="364" t="n"/>
      <c r="W13" s="364" t="n"/>
      <c r="X13" s="364" t="n"/>
      <c r="Y13" s="364" t="n"/>
      <c r="Z13" s="364" t="n"/>
    </row>
    <row r="14" ht="15" customHeight="1" s="34">
      <c r="A14" s="523" t="inlineStr">
        <is>
          <t>Color Legend</t>
        </is>
      </c>
      <c r="B14" s="1" t="n"/>
      <c r="C14" s="1" t="n"/>
      <c r="D14" s="1" t="n"/>
      <c r="E14" s="364" t="n"/>
      <c r="F14" s="364" t="n"/>
      <c r="G14" s="364" t="n"/>
      <c r="H14" s="364" t="n"/>
      <c r="I14" s="364" t="n"/>
      <c r="J14" s="364" t="n"/>
      <c r="K14" s="364" t="n"/>
      <c r="L14" s="364" t="n"/>
      <c r="M14" s="364" t="n"/>
      <c r="N14" s="364" t="n"/>
      <c r="O14" s="364" t="n"/>
      <c r="P14" s="364" t="n"/>
      <c r="Q14" s="364" t="n"/>
      <c r="R14" s="364" t="n"/>
      <c r="S14" s="364" t="n"/>
      <c r="T14" s="364" t="n"/>
      <c r="U14" s="364" t="n"/>
      <c r="V14" s="364" t="n"/>
      <c r="W14" s="364" t="n"/>
      <c r="X14" s="364" t="n"/>
      <c r="Y14" s="364" t="n"/>
      <c r="Z14" s="364" t="n"/>
    </row>
    <row r="15" ht="15" customHeight="1" s="34">
      <c r="A15" s="503" t="inlineStr">
        <is>
          <t>Color</t>
        </is>
      </c>
      <c r="B15" s="504" t="inlineStr">
        <is>
          <t>Meaning</t>
        </is>
      </c>
      <c r="C15" s="504" t="inlineStr">
        <is>
          <t>Example</t>
        </is>
      </c>
      <c r="D15" s="505" t="inlineStr">
        <is>
          <t>Why It Matters</t>
        </is>
      </c>
      <c r="E15" s="364" t="n"/>
      <c r="F15" s="364" t="n"/>
      <c r="G15" s="364" t="n"/>
      <c r="H15" s="364" t="n"/>
      <c r="I15" s="364" t="n"/>
      <c r="J15" s="364" t="n"/>
      <c r="K15" s="364" t="n"/>
      <c r="L15" s="364" t="n"/>
      <c r="M15" s="364" t="n"/>
      <c r="N15" s="364" t="n"/>
      <c r="O15" s="364" t="n"/>
      <c r="P15" s="364" t="n"/>
      <c r="Q15" s="364" t="n"/>
      <c r="R15" s="364" t="n"/>
      <c r="S15" s="364" t="n"/>
      <c r="T15" s="364" t="n"/>
      <c r="U15" s="364" t="n"/>
      <c r="V15" s="364" t="n"/>
      <c r="W15" s="364" t="n"/>
      <c r="X15" s="364" t="n"/>
      <c r="Y15" s="364" t="n"/>
      <c r="Z15" s="364" t="n"/>
    </row>
    <row r="16" ht="15" customHeight="1" s="34">
      <c r="A16" s="555" t="inlineStr">
        <is>
          <t>Blue font</t>
        </is>
      </c>
      <c r="B16" s="519" t="inlineStr">
        <is>
          <t>Hardcoded input</t>
        </is>
      </c>
      <c r="C16" s="519" t="inlineStr">
        <is>
          <t>Price per Unit</t>
        </is>
      </c>
      <c r="D16" s="509" t="inlineStr">
        <is>
          <t>Signals user-editable assumptions.</t>
        </is>
      </c>
      <c r="E16" s="364" t="n"/>
      <c r="F16" s="364" t="n"/>
      <c r="G16" s="364" t="n"/>
      <c r="H16" s="364" t="n"/>
      <c r="I16" s="364" t="n"/>
      <c r="J16" s="364" t="n"/>
      <c r="K16" s="364" t="n"/>
      <c r="L16" s="364" t="n"/>
      <c r="M16" s="364" t="n"/>
      <c r="N16" s="364" t="n"/>
      <c r="O16" s="364" t="n"/>
      <c r="P16" s="364" t="n"/>
      <c r="Q16" s="364" t="n"/>
      <c r="R16" s="364" t="n"/>
      <c r="S16" s="364" t="n"/>
      <c r="T16" s="364" t="n"/>
      <c r="U16" s="364" t="n"/>
      <c r="V16" s="364" t="n"/>
      <c r="W16" s="364" t="n"/>
      <c r="X16" s="364" t="n"/>
      <c r="Y16" s="364" t="n"/>
      <c r="Z16" s="364" t="n"/>
    </row>
    <row r="17" ht="15" customHeight="1" s="34">
      <c r="A17" s="556" t="inlineStr">
        <is>
          <t>Black font</t>
        </is>
      </c>
      <c r="B17" s="519" t="inlineStr">
        <is>
          <t>Formula / calculation</t>
        </is>
      </c>
      <c r="C17" s="519" t="inlineStr">
        <is>
          <t>Revenue = Units x Price</t>
        </is>
      </c>
      <c r="D17" s="509" t="inlineStr">
        <is>
          <t>Keeps calculations auditable.</t>
        </is>
      </c>
      <c r="E17" s="364" t="n"/>
      <c r="F17" s="364" t="n"/>
      <c r="G17" s="364" t="n"/>
      <c r="H17" s="364" t="n"/>
      <c r="I17" s="364" t="n"/>
      <c r="J17" s="364" t="n"/>
      <c r="K17" s="364" t="n"/>
      <c r="L17" s="364" t="n"/>
      <c r="M17" s="364" t="n"/>
      <c r="N17" s="364" t="n"/>
      <c r="O17" s="364" t="n"/>
      <c r="P17" s="364" t="n"/>
      <c r="Q17" s="364" t="n"/>
      <c r="R17" s="364" t="n"/>
      <c r="S17" s="364" t="n"/>
      <c r="T17" s="364" t="n"/>
      <c r="U17" s="364" t="n"/>
      <c r="V17" s="364" t="n"/>
      <c r="W17" s="364" t="n"/>
      <c r="X17" s="364" t="n"/>
      <c r="Y17" s="364" t="n"/>
      <c r="Z17" s="364" t="n"/>
    </row>
    <row r="18" ht="15" customHeight="1" s="34">
      <c r="A18" s="557" t="inlineStr">
        <is>
          <t>Green font</t>
        </is>
      </c>
      <c r="B18" s="519" t="inlineStr">
        <is>
          <t>Link to another worksheet</t>
        </is>
      </c>
      <c r="C18" s="519" t="inlineStr">
        <is>
          <t>Dashboard KPI links</t>
        </is>
      </c>
      <c r="D18" s="509" t="inlineStr">
        <is>
          <t>Shows cross-sheet pull-through.</t>
        </is>
      </c>
      <c r="E18" s="364" t="n"/>
      <c r="F18" s="364" t="n"/>
      <c r="G18" s="364" t="n"/>
      <c r="H18" s="364" t="n"/>
      <c r="I18" s="364" t="n"/>
      <c r="J18" s="364" t="n"/>
      <c r="K18" s="364" t="n"/>
      <c r="L18" s="364" t="n"/>
      <c r="M18" s="364" t="n"/>
      <c r="N18" s="364" t="n"/>
      <c r="O18" s="364" t="n"/>
      <c r="P18" s="364" t="n"/>
      <c r="Q18" s="364" t="n"/>
      <c r="R18" s="364" t="n"/>
      <c r="S18" s="364" t="n"/>
      <c r="T18" s="364" t="n"/>
      <c r="U18" s="364" t="n"/>
      <c r="V18" s="364" t="n"/>
      <c r="W18" s="364" t="n"/>
      <c r="X18" s="364" t="n"/>
      <c r="Y18" s="364" t="n"/>
      <c r="Z18" s="364" t="n"/>
    </row>
    <row r="19" ht="15" customHeight="1" s="34">
      <c r="A19" s="558" t="inlineStr">
        <is>
          <t>Yellow fill</t>
        </is>
      </c>
      <c r="B19" s="519" t="inlineStr">
        <is>
          <t>Key assumption / needs attention</t>
        </is>
      </c>
      <c r="C19" s="519" t="inlineStr">
        <is>
          <t>Year 1 Units Sold</t>
        </is>
      </c>
      <c r="D19" s="509" t="inlineStr">
        <is>
          <t>Highlights investor-sensitive drivers.</t>
        </is>
      </c>
      <c r="E19" s="364" t="n"/>
      <c r="F19" s="364" t="n"/>
      <c r="G19" s="364" t="n"/>
      <c r="H19" s="364" t="n"/>
      <c r="I19" s="364" t="n"/>
      <c r="J19" s="364" t="n"/>
      <c r="K19" s="364" t="n"/>
      <c r="L19" s="364" t="n"/>
      <c r="M19" s="364" t="n"/>
      <c r="N19" s="364" t="n"/>
      <c r="O19" s="364" t="n"/>
      <c r="P19" s="364" t="n"/>
      <c r="Q19" s="364" t="n"/>
      <c r="R19" s="364" t="n"/>
      <c r="S19" s="364" t="n"/>
      <c r="T19" s="364" t="n"/>
      <c r="U19" s="364" t="n"/>
      <c r="V19" s="364" t="n"/>
      <c r="W19" s="364" t="n"/>
      <c r="X19" s="364" t="n"/>
      <c r="Y19" s="364" t="n"/>
      <c r="Z19" s="364" t="n"/>
    </row>
    <row r="20" ht="15" customHeight="1" s="34">
      <c r="A20" s="559" t="inlineStr">
        <is>
          <t>Red / Green / Yellow status</t>
        </is>
      </c>
      <c r="B20" s="521" t="inlineStr">
        <is>
          <t>Risk flag</t>
        </is>
      </c>
      <c r="C20" s="521" t="inlineStr">
        <is>
          <t>Readiness status</t>
        </is>
      </c>
      <c r="D20" s="517" t="inlineStr">
        <is>
          <t>Quick visual read for investors/founders.</t>
        </is>
      </c>
      <c r="E20" s="364" t="n"/>
      <c r="F20" s="364" t="n"/>
      <c r="G20" s="364" t="n"/>
      <c r="H20" s="364" t="n"/>
      <c r="I20" s="364" t="n"/>
      <c r="J20" s="364" t="n"/>
      <c r="K20" s="364" t="n"/>
      <c r="L20" s="364" t="n"/>
      <c r="M20" s="364" t="n"/>
      <c r="N20" s="364" t="n"/>
      <c r="O20" s="364" t="n"/>
      <c r="P20" s="364" t="n"/>
      <c r="Q20" s="364" t="n"/>
      <c r="R20" s="364" t="n"/>
      <c r="S20" s="364" t="n"/>
      <c r="T20" s="364" t="n"/>
      <c r="U20" s="364" t="n"/>
      <c r="V20" s="364" t="n"/>
      <c r="W20" s="364" t="n"/>
      <c r="X20" s="364" t="n"/>
      <c r="Y20" s="364" t="n"/>
      <c r="Z20" s="364" t="n"/>
    </row>
    <row r="21" ht="15" customHeight="1" s="34">
      <c r="A21" s="364" t="n"/>
      <c r="B21" s="364" t="n"/>
      <c r="C21" s="364" t="n"/>
      <c r="D21" s="364" t="n"/>
      <c r="E21" s="364" t="n"/>
      <c r="F21" s="364" t="n"/>
      <c r="G21" s="364" t="n"/>
      <c r="H21" s="364" t="n"/>
      <c r="I21" s="364" t="n"/>
      <c r="J21" s="364" t="n"/>
      <c r="K21" s="364" t="n"/>
      <c r="L21" s="364" t="n"/>
      <c r="M21" s="364" t="n"/>
      <c r="N21" s="364" t="n"/>
      <c r="O21" s="364" t="n"/>
      <c r="P21" s="364" t="n"/>
      <c r="Q21" s="364" t="n"/>
      <c r="R21" s="364" t="n"/>
      <c r="S21" s="364" t="n"/>
      <c r="T21" s="364" t="n"/>
      <c r="U21" s="364" t="n"/>
      <c r="V21" s="364" t="n"/>
      <c r="W21" s="364" t="n"/>
      <c r="X21" s="364" t="n"/>
      <c r="Y21" s="364" t="n"/>
      <c r="Z21" s="364" t="n"/>
    </row>
    <row r="22" ht="15" customHeight="1" s="34">
      <c r="A22" s="364" t="n"/>
      <c r="B22" s="364" t="n"/>
      <c r="C22" s="364" t="n"/>
      <c r="D22" s="364" t="n"/>
      <c r="E22" s="364" t="n"/>
      <c r="F22" s="364" t="n"/>
      <c r="G22" s="364" t="n"/>
      <c r="H22" s="364" t="n"/>
      <c r="I22" s="364" t="n"/>
      <c r="J22" s="364" t="n"/>
      <c r="K22" s="364" t="n"/>
      <c r="L22" s="364" t="n"/>
      <c r="M22" s="364" t="n"/>
      <c r="N22" s="364" t="n"/>
      <c r="O22" s="364" t="n"/>
      <c r="P22" s="364" t="n"/>
      <c r="Q22" s="364" t="n"/>
      <c r="R22" s="364" t="n"/>
      <c r="S22" s="364" t="n"/>
      <c r="T22" s="364" t="n"/>
      <c r="U22" s="364" t="n"/>
      <c r="V22" s="364" t="n"/>
      <c r="W22" s="364" t="n"/>
      <c r="X22" s="364" t="n"/>
      <c r="Y22" s="364" t="n"/>
      <c r="Z22" s="364" t="n"/>
    </row>
    <row r="23" ht="15" customHeight="1" s="34">
      <c r="A23" s="364" t="n"/>
      <c r="B23" s="364" t="n"/>
      <c r="C23" s="364" t="n"/>
      <c r="D23" s="364" t="n"/>
      <c r="E23" s="364" t="n"/>
      <c r="F23" s="364" t="n"/>
      <c r="G23" s="364" t="n"/>
      <c r="H23" s="364" t="n"/>
      <c r="I23" s="364" t="n"/>
      <c r="J23" s="364" t="n"/>
      <c r="K23" s="364" t="n"/>
      <c r="L23" s="364" t="n"/>
      <c r="M23" s="364" t="n"/>
      <c r="N23" s="364" t="n"/>
      <c r="O23" s="364" t="n"/>
      <c r="P23" s="364" t="n"/>
      <c r="Q23" s="364" t="n"/>
      <c r="R23" s="364" t="n"/>
      <c r="S23" s="364" t="n"/>
      <c r="T23" s="364" t="n"/>
      <c r="U23" s="364" t="n"/>
      <c r="V23" s="364" t="n"/>
      <c r="W23" s="364" t="n"/>
      <c r="X23" s="364" t="n"/>
      <c r="Y23" s="364" t="n"/>
      <c r="Z23" s="364" t="n"/>
    </row>
    <row r="24" ht="15" customHeight="1" s="34">
      <c r="A24" s="364" t="n"/>
      <c r="B24" s="364" t="n"/>
      <c r="C24" s="364" t="n"/>
      <c r="D24" s="364" t="n"/>
      <c r="E24" s="364" t="n"/>
      <c r="F24" s="364" t="n"/>
      <c r="G24" s="364" t="n"/>
      <c r="H24" s="364" t="n"/>
      <c r="I24" s="364" t="n"/>
      <c r="J24" s="364" t="n"/>
      <c r="K24" s="364" t="n"/>
      <c r="L24" s="364" t="n"/>
      <c r="M24" s="364" t="n"/>
      <c r="N24" s="364" t="n"/>
      <c r="O24" s="364" t="n"/>
      <c r="P24" s="364" t="n"/>
      <c r="Q24" s="364" t="n"/>
      <c r="R24" s="364" t="n"/>
      <c r="S24" s="364" t="n"/>
      <c r="T24" s="364" t="n"/>
      <c r="U24" s="364" t="n"/>
      <c r="V24" s="364" t="n"/>
      <c r="W24" s="364" t="n"/>
      <c r="X24" s="364" t="n"/>
      <c r="Y24" s="364" t="n"/>
      <c r="Z24" s="364" t="n"/>
    </row>
    <row r="25" ht="15" customHeight="1" s="34">
      <c r="A25" s="364" t="n"/>
      <c r="B25" s="364" t="n"/>
      <c r="C25" s="364" t="n"/>
      <c r="D25" s="364" t="n"/>
      <c r="E25" s="364" t="n"/>
      <c r="F25" s="364" t="n"/>
      <c r="G25" s="364" t="n"/>
      <c r="H25" s="364" t="n"/>
      <c r="I25" s="364" t="n"/>
      <c r="J25" s="364" t="n"/>
      <c r="K25" s="364" t="n"/>
      <c r="L25" s="364" t="n"/>
      <c r="M25" s="364" t="n"/>
      <c r="N25" s="364" t="n"/>
      <c r="O25" s="364" t="n"/>
      <c r="P25" s="364" t="n"/>
      <c r="Q25" s="364" t="n"/>
      <c r="R25" s="364" t="n"/>
      <c r="S25" s="364" t="n"/>
      <c r="T25" s="364" t="n"/>
      <c r="U25" s="364" t="n"/>
      <c r="V25" s="364" t="n"/>
      <c r="W25" s="364" t="n"/>
      <c r="X25" s="364" t="n"/>
      <c r="Y25" s="364" t="n"/>
      <c r="Z25" s="364" t="n"/>
    </row>
    <row r="26" ht="15" customHeight="1" s="34">
      <c r="A26" s="364" t="n"/>
      <c r="B26" s="364" t="n"/>
      <c r="C26" s="364" t="n"/>
      <c r="D26" s="364" t="n"/>
      <c r="E26" s="364" t="n"/>
      <c r="F26" s="364" t="n"/>
      <c r="G26" s="364" t="n"/>
      <c r="H26" s="364" t="n"/>
      <c r="I26" s="364" t="n"/>
      <c r="J26" s="364" t="n"/>
      <c r="K26" s="364" t="n"/>
      <c r="L26" s="364" t="n"/>
      <c r="M26" s="364" t="n"/>
      <c r="N26" s="364" t="n"/>
      <c r="O26" s="364" t="n"/>
      <c r="P26" s="364" t="n"/>
      <c r="Q26" s="364" t="n"/>
      <c r="R26" s="364" t="n"/>
      <c r="S26" s="364" t="n"/>
      <c r="T26" s="364" t="n"/>
      <c r="U26" s="364" t="n"/>
      <c r="V26" s="364" t="n"/>
      <c r="W26" s="364" t="n"/>
      <c r="X26" s="364" t="n"/>
      <c r="Y26" s="364" t="n"/>
      <c r="Z26" s="364" t="n"/>
    </row>
    <row r="27" ht="15" customHeight="1" s="34">
      <c r="A27" s="364" t="n"/>
      <c r="B27" s="364" t="n"/>
      <c r="C27" s="364" t="n"/>
      <c r="D27" s="364" t="n"/>
      <c r="E27" s="364" t="n"/>
      <c r="F27" s="364" t="n"/>
      <c r="G27" s="364" t="n"/>
      <c r="H27" s="364" t="n"/>
      <c r="I27" s="364" t="n"/>
      <c r="J27" s="364" t="n"/>
      <c r="K27" s="364" t="n"/>
      <c r="L27" s="364" t="n"/>
      <c r="M27" s="364" t="n"/>
      <c r="N27" s="364" t="n"/>
      <c r="O27" s="364" t="n"/>
      <c r="P27" s="364" t="n"/>
      <c r="Q27" s="364" t="n"/>
      <c r="R27" s="364" t="n"/>
      <c r="S27" s="364" t="n"/>
      <c r="T27" s="364" t="n"/>
      <c r="U27" s="364" t="n"/>
      <c r="V27" s="364" t="n"/>
      <c r="W27" s="364" t="n"/>
      <c r="X27" s="364" t="n"/>
      <c r="Y27" s="364" t="n"/>
      <c r="Z27" s="364" t="n"/>
    </row>
    <row r="28" ht="15" customHeight="1" s="34">
      <c r="A28" s="364" t="n"/>
      <c r="B28" s="364" t="n"/>
      <c r="C28" s="364" t="n"/>
      <c r="D28" s="364" t="n"/>
      <c r="E28" s="364" t="n"/>
      <c r="F28" s="364" t="n"/>
      <c r="G28" s="364" t="n"/>
      <c r="H28" s="364" t="n"/>
      <c r="I28" s="364" t="n"/>
      <c r="J28" s="364" t="n"/>
      <c r="K28" s="364" t="n"/>
      <c r="L28" s="364" t="n"/>
      <c r="M28" s="364" t="n"/>
      <c r="N28" s="364" t="n"/>
      <c r="O28" s="364" t="n"/>
      <c r="P28" s="364" t="n"/>
      <c r="Q28" s="364" t="n"/>
      <c r="R28" s="364" t="n"/>
      <c r="S28" s="364" t="n"/>
      <c r="T28" s="364" t="n"/>
      <c r="U28" s="364" t="n"/>
      <c r="V28" s="364" t="n"/>
      <c r="W28" s="364" t="n"/>
      <c r="X28" s="364" t="n"/>
      <c r="Y28" s="364" t="n"/>
      <c r="Z28" s="364" t="n"/>
    </row>
    <row r="29" ht="15" customHeight="1" s="34">
      <c r="A29" s="364" t="n"/>
      <c r="B29" s="364" t="n"/>
      <c r="C29" s="364" t="n"/>
      <c r="D29" s="364" t="n"/>
      <c r="E29" s="364" t="n"/>
      <c r="F29" s="364" t="n"/>
      <c r="G29" s="364" t="n"/>
      <c r="H29" s="364" t="n"/>
      <c r="I29" s="364" t="n"/>
      <c r="J29" s="364" t="n"/>
      <c r="K29" s="364" t="n"/>
      <c r="L29" s="364" t="n"/>
      <c r="M29" s="364" t="n"/>
      <c r="N29" s="364" t="n"/>
      <c r="O29" s="364" t="n"/>
      <c r="P29" s="364" t="n"/>
      <c r="Q29" s="364" t="n"/>
      <c r="R29" s="364" t="n"/>
      <c r="S29" s="364" t="n"/>
      <c r="T29" s="364" t="n"/>
      <c r="U29" s="364" t="n"/>
      <c r="V29" s="364" t="n"/>
      <c r="W29" s="364" t="n"/>
      <c r="X29" s="364" t="n"/>
      <c r="Y29" s="364" t="n"/>
      <c r="Z29" s="364" t="n"/>
    </row>
    <row r="30" ht="15" customHeight="1" s="34">
      <c r="A30" s="364" t="n"/>
      <c r="B30" s="364" t="n"/>
      <c r="C30" s="364" t="n"/>
      <c r="D30" s="364" t="n"/>
      <c r="E30" s="364" t="n"/>
      <c r="F30" s="364" t="n"/>
      <c r="G30" s="364" t="n"/>
      <c r="H30" s="364" t="n"/>
      <c r="I30" s="364" t="n"/>
      <c r="J30" s="364" t="n"/>
      <c r="K30" s="364" t="n"/>
      <c r="L30" s="364" t="n"/>
      <c r="M30" s="364" t="n"/>
      <c r="N30" s="364" t="n"/>
      <c r="O30" s="364" t="n"/>
      <c r="P30" s="364" t="n"/>
      <c r="Q30" s="364" t="n"/>
      <c r="R30" s="364" t="n"/>
      <c r="S30" s="364" t="n"/>
      <c r="T30" s="364" t="n"/>
      <c r="U30" s="364" t="n"/>
      <c r="V30" s="364" t="n"/>
      <c r="W30" s="364" t="n"/>
      <c r="X30" s="364" t="n"/>
      <c r="Y30" s="364" t="n"/>
      <c r="Z30" s="364" t="n"/>
    </row>
    <row r="31" ht="15" customHeight="1" s="34">
      <c r="A31" s="364" t="n"/>
      <c r="B31" s="364" t="n"/>
      <c r="C31" s="364" t="n"/>
      <c r="D31" s="364" t="n"/>
      <c r="E31" s="364" t="n"/>
      <c r="F31" s="364" t="n"/>
      <c r="G31" s="364" t="n"/>
      <c r="H31" s="364" t="n"/>
      <c r="I31" s="364" t="n"/>
      <c r="J31" s="364" t="n"/>
      <c r="K31" s="364" t="n"/>
      <c r="L31" s="364" t="n"/>
      <c r="M31" s="364" t="n"/>
      <c r="N31" s="364" t="n"/>
      <c r="O31" s="364" t="n"/>
      <c r="P31" s="364" t="n"/>
      <c r="Q31" s="364" t="n"/>
      <c r="R31" s="364" t="n"/>
      <c r="S31" s="364" t="n"/>
      <c r="T31" s="364" t="n"/>
      <c r="U31" s="364" t="n"/>
      <c r="V31" s="364" t="n"/>
      <c r="W31" s="364" t="n"/>
      <c r="X31" s="364" t="n"/>
      <c r="Y31" s="364" t="n"/>
      <c r="Z31" s="364" t="n"/>
    </row>
    <row r="32" ht="15" customHeight="1" s="34">
      <c r="A32" s="364" t="n"/>
      <c r="B32" s="364" t="n"/>
      <c r="C32" s="364" t="n"/>
      <c r="D32" s="364" t="n"/>
      <c r="E32" s="364" t="n"/>
      <c r="F32" s="364" t="n"/>
      <c r="G32" s="364" t="n"/>
      <c r="H32" s="364" t="n"/>
      <c r="I32" s="364" t="n"/>
      <c r="J32" s="364" t="n"/>
      <c r="K32" s="364" t="n"/>
      <c r="L32" s="364" t="n"/>
      <c r="M32" s="364" t="n"/>
      <c r="N32" s="364" t="n"/>
      <c r="O32" s="364" t="n"/>
      <c r="P32" s="364" t="n"/>
      <c r="Q32" s="364" t="n"/>
      <c r="R32" s="364" t="n"/>
      <c r="S32" s="364" t="n"/>
      <c r="T32" s="364" t="n"/>
      <c r="U32" s="364" t="n"/>
      <c r="V32" s="364" t="n"/>
      <c r="W32" s="364" t="n"/>
      <c r="X32" s="364" t="n"/>
      <c r="Y32" s="364" t="n"/>
      <c r="Z32" s="364" t="n"/>
    </row>
    <row r="33" ht="15" customHeight="1" s="34">
      <c r="A33" s="364" t="n"/>
      <c r="B33" s="364" t="n"/>
      <c r="C33" s="364" t="n"/>
      <c r="D33" s="364" t="n"/>
      <c r="E33" s="364" t="n"/>
      <c r="F33" s="364" t="n"/>
      <c r="G33" s="364" t="n"/>
      <c r="H33" s="364" t="n"/>
      <c r="I33" s="364" t="n"/>
      <c r="J33" s="364" t="n"/>
      <c r="K33" s="364" t="n"/>
      <c r="L33" s="364" t="n"/>
      <c r="M33" s="364" t="n"/>
      <c r="N33" s="364" t="n"/>
      <c r="O33" s="364" t="n"/>
      <c r="P33" s="364" t="n"/>
      <c r="Q33" s="364" t="n"/>
      <c r="R33" s="364" t="n"/>
      <c r="S33" s="364" t="n"/>
      <c r="T33" s="364" t="n"/>
      <c r="U33" s="364" t="n"/>
      <c r="V33" s="364" t="n"/>
      <c r="W33" s="364" t="n"/>
      <c r="X33" s="364" t="n"/>
      <c r="Y33" s="364" t="n"/>
      <c r="Z33" s="364" t="n"/>
    </row>
    <row r="34" ht="15" customHeight="1" s="34">
      <c r="A34" s="364" t="n"/>
      <c r="B34" s="364" t="n"/>
      <c r="C34" s="364" t="n"/>
      <c r="D34" s="364" t="n"/>
      <c r="E34" s="364" t="n"/>
      <c r="F34" s="364" t="n"/>
      <c r="G34" s="364" t="n"/>
      <c r="H34" s="364" t="n"/>
      <c r="I34" s="364" t="n"/>
      <c r="J34" s="364" t="n"/>
      <c r="K34" s="364" t="n"/>
      <c r="L34" s="364" t="n"/>
      <c r="M34" s="364" t="n"/>
      <c r="N34" s="364" t="n"/>
      <c r="O34" s="364" t="n"/>
      <c r="P34" s="364" t="n"/>
      <c r="Q34" s="364" t="n"/>
      <c r="R34" s="364" t="n"/>
      <c r="S34" s="364" t="n"/>
      <c r="T34" s="364" t="n"/>
      <c r="U34" s="364" t="n"/>
      <c r="V34" s="364" t="n"/>
      <c r="W34" s="364" t="n"/>
      <c r="X34" s="364" t="n"/>
      <c r="Y34" s="364" t="n"/>
      <c r="Z34" s="364" t="n"/>
    </row>
    <row r="35" ht="15" customHeight="1" s="34">
      <c r="A35" s="364" t="n"/>
      <c r="B35" s="364" t="n"/>
      <c r="C35" s="364" t="n"/>
      <c r="D35" s="364" t="n"/>
      <c r="E35" s="364" t="n"/>
      <c r="F35" s="364" t="n"/>
      <c r="G35" s="364" t="n"/>
      <c r="H35" s="364" t="n"/>
      <c r="I35" s="364" t="n"/>
      <c r="J35" s="364" t="n"/>
      <c r="K35" s="364" t="n"/>
      <c r="L35" s="364" t="n"/>
      <c r="M35" s="364" t="n"/>
      <c r="N35" s="364" t="n"/>
      <c r="O35" s="364" t="n"/>
      <c r="P35" s="364" t="n"/>
      <c r="Q35" s="364" t="n"/>
      <c r="R35" s="364" t="n"/>
      <c r="S35" s="364" t="n"/>
      <c r="T35" s="364" t="n"/>
      <c r="U35" s="364" t="n"/>
      <c r="V35" s="364" t="n"/>
      <c r="W35" s="364" t="n"/>
      <c r="X35" s="364" t="n"/>
      <c r="Y35" s="364" t="n"/>
      <c r="Z35" s="364" t="n"/>
    </row>
    <row r="36" ht="15" customHeight="1" s="34">
      <c r="A36" s="364" t="n"/>
      <c r="B36" s="364" t="n"/>
      <c r="C36" s="364" t="n"/>
      <c r="D36" s="364" t="n"/>
      <c r="E36" s="364" t="n"/>
      <c r="F36" s="364" t="n"/>
      <c r="G36" s="364" t="n"/>
      <c r="H36" s="364" t="n"/>
      <c r="I36" s="364" t="n"/>
      <c r="J36" s="364" t="n"/>
      <c r="K36" s="364" t="n"/>
      <c r="L36" s="364" t="n"/>
      <c r="M36" s="364" t="n"/>
      <c r="N36" s="364" t="n"/>
      <c r="O36" s="364" t="n"/>
      <c r="P36" s="364" t="n"/>
      <c r="Q36" s="364" t="n"/>
      <c r="R36" s="364" t="n"/>
      <c r="S36" s="364" t="n"/>
      <c r="T36" s="364" t="n"/>
      <c r="U36" s="364" t="n"/>
      <c r="V36" s="364" t="n"/>
      <c r="W36" s="364" t="n"/>
      <c r="X36" s="364" t="n"/>
      <c r="Y36" s="364" t="n"/>
      <c r="Z36" s="364" t="n"/>
    </row>
    <row r="37" ht="15" customHeight="1" s="34">
      <c r="A37" s="364" t="n"/>
      <c r="B37" s="364" t="n"/>
      <c r="C37" s="364" t="n"/>
      <c r="D37" s="364" t="n"/>
      <c r="E37" s="364" t="n"/>
      <c r="F37" s="364" t="n"/>
      <c r="G37" s="364" t="n"/>
      <c r="H37" s="364" t="n"/>
      <c r="I37" s="364" t="n"/>
      <c r="J37" s="364" t="n"/>
      <c r="K37" s="364" t="n"/>
      <c r="L37" s="364" t="n"/>
      <c r="M37" s="364" t="n"/>
      <c r="N37" s="364" t="n"/>
      <c r="O37" s="364" t="n"/>
      <c r="P37" s="364" t="n"/>
      <c r="Q37" s="364" t="n"/>
      <c r="R37" s="364" t="n"/>
      <c r="S37" s="364" t="n"/>
      <c r="T37" s="364" t="n"/>
      <c r="U37" s="364" t="n"/>
      <c r="V37" s="364" t="n"/>
      <c r="W37" s="364" t="n"/>
      <c r="X37" s="364" t="n"/>
      <c r="Y37" s="364" t="n"/>
      <c r="Z37" s="364" t="n"/>
    </row>
    <row r="38" ht="15" customHeight="1" s="34">
      <c r="A38" s="364" t="n"/>
      <c r="B38" s="364" t="n"/>
      <c r="C38" s="364" t="n"/>
      <c r="D38" s="364" t="n"/>
      <c r="E38" s="364" t="n"/>
      <c r="F38" s="364" t="n"/>
      <c r="G38" s="364" t="n"/>
      <c r="H38" s="364" t="n"/>
      <c r="I38" s="364" t="n"/>
      <c r="J38" s="364" t="n"/>
      <c r="K38" s="364" t="n"/>
      <c r="L38" s="364" t="n"/>
      <c r="M38" s="364" t="n"/>
      <c r="N38" s="364" t="n"/>
      <c r="O38" s="364" t="n"/>
      <c r="P38" s="364" t="n"/>
      <c r="Q38" s="364" t="n"/>
      <c r="R38" s="364" t="n"/>
      <c r="S38" s="364" t="n"/>
      <c r="T38" s="364" t="n"/>
      <c r="U38" s="364" t="n"/>
      <c r="V38" s="364" t="n"/>
      <c r="W38" s="364" t="n"/>
      <c r="X38" s="364" t="n"/>
      <c r="Y38" s="364" t="n"/>
      <c r="Z38" s="364" t="n"/>
    </row>
    <row r="39" ht="15" customHeight="1" s="34">
      <c r="A39" s="364" t="n"/>
      <c r="B39" s="364" t="n"/>
      <c r="C39" s="364" t="n"/>
      <c r="D39" s="364" t="n"/>
      <c r="E39" s="364" t="n"/>
      <c r="F39" s="364" t="n"/>
      <c r="G39" s="364" t="n"/>
      <c r="H39" s="364" t="n"/>
      <c r="I39" s="364" t="n"/>
      <c r="J39" s="364" t="n"/>
      <c r="K39" s="364" t="n"/>
      <c r="L39" s="364" t="n"/>
      <c r="M39" s="364" t="n"/>
      <c r="N39" s="364" t="n"/>
      <c r="O39" s="364" t="n"/>
      <c r="P39" s="364" t="n"/>
      <c r="Q39" s="364" t="n"/>
      <c r="R39" s="364" t="n"/>
      <c r="S39" s="364" t="n"/>
      <c r="T39" s="364" t="n"/>
      <c r="U39" s="364" t="n"/>
      <c r="V39" s="364" t="n"/>
      <c r="W39" s="364" t="n"/>
      <c r="X39" s="364" t="n"/>
      <c r="Y39" s="364" t="n"/>
      <c r="Z39" s="364" t="n"/>
    </row>
    <row r="40" ht="15" customHeight="1" s="34">
      <c r="A40" s="364" t="n"/>
      <c r="B40" s="364" t="n"/>
      <c r="C40" s="364" t="n"/>
      <c r="D40" s="364" t="n"/>
      <c r="E40" s="364" t="n"/>
      <c r="F40" s="364" t="n"/>
      <c r="G40" s="364" t="n"/>
      <c r="H40" s="364" t="n"/>
      <c r="I40" s="364" t="n"/>
      <c r="J40" s="364" t="n"/>
      <c r="K40" s="364" t="n"/>
      <c r="L40" s="364" t="n"/>
      <c r="M40" s="364" t="n"/>
      <c r="N40" s="364" t="n"/>
      <c r="O40" s="364" t="n"/>
      <c r="P40" s="364" t="n"/>
      <c r="Q40" s="364" t="n"/>
      <c r="R40" s="364" t="n"/>
      <c r="S40" s="364" t="n"/>
      <c r="T40" s="364" t="n"/>
      <c r="U40" s="364" t="n"/>
      <c r="V40" s="364" t="n"/>
      <c r="W40" s="364" t="n"/>
      <c r="X40" s="364" t="n"/>
      <c r="Y40" s="364" t="n"/>
      <c r="Z40" s="364" t="n"/>
    </row>
    <row r="41">
      <c r="A41" s="364" t="n"/>
      <c r="B41" s="364" t="n"/>
      <c r="C41" s="364" t="n"/>
      <c r="D41" s="364" t="n"/>
      <c r="E41" s="364" t="n"/>
      <c r="F41" s="364" t="n"/>
      <c r="G41" s="364" t="n"/>
      <c r="H41" s="364" t="n"/>
      <c r="I41" s="364" t="n"/>
      <c r="J41" s="364" t="n"/>
      <c r="K41" s="364" t="n"/>
      <c r="L41" s="364" t="n"/>
      <c r="M41" s="364" t="n"/>
      <c r="N41" s="364" t="n"/>
      <c r="O41" s="364" t="n"/>
      <c r="P41" s="364" t="n"/>
      <c r="Q41" s="364" t="n"/>
      <c r="R41" s="364" t="n"/>
      <c r="S41" s="364" t="n"/>
      <c r="T41" s="364" t="n"/>
      <c r="U41" s="364" t="n"/>
      <c r="V41" s="364" t="n"/>
      <c r="W41" s="364" t="n"/>
      <c r="X41" s="364" t="n"/>
      <c r="Y41" s="364" t="n"/>
      <c r="Z41" s="364" t="n"/>
    </row>
    <row r="42">
      <c r="A42" s="364" t="n"/>
      <c r="B42" s="364" t="n"/>
      <c r="C42" s="364" t="n"/>
      <c r="D42" s="364" t="n"/>
      <c r="E42" s="364" t="n"/>
      <c r="F42" s="364" t="n"/>
      <c r="G42" s="364" t="n"/>
      <c r="H42" s="364" t="n"/>
      <c r="I42" s="364" t="n"/>
      <c r="J42" s="364" t="n"/>
      <c r="K42" s="364" t="n"/>
      <c r="L42" s="364" t="n"/>
      <c r="M42" s="364" t="n"/>
      <c r="N42" s="364" t="n"/>
      <c r="O42" s="364" t="n"/>
      <c r="P42" s="364" t="n"/>
      <c r="Q42" s="364" t="n"/>
      <c r="R42" s="364" t="n"/>
      <c r="S42" s="364" t="n"/>
      <c r="T42" s="364" t="n"/>
      <c r="U42" s="364" t="n"/>
      <c r="V42" s="364" t="n"/>
      <c r="W42" s="364" t="n"/>
      <c r="X42" s="364" t="n"/>
      <c r="Y42" s="364" t="n"/>
      <c r="Z42" s="364" t="n"/>
    </row>
    <row r="43">
      <c r="A43" s="364" t="n"/>
      <c r="B43" s="364" t="n"/>
      <c r="C43" s="364" t="n"/>
      <c r="D43" s="364" t="n"/>
      <c r="E43" s="364" t="n"/>
      <c r="F43" s="364" t="n"/>
      <c r="G43" s="364" t="n"/>
      <c r="H43" s="364" t="n"/>
      <c r="I43" s="364" t="n"/>
      <c r="J43" s="364" t="n"/>
      <c r="K43" s="364" t="n"/>
      <c r="L43" s="364" t="n"/>
      <c r="M43" s="364" t="n"/>
      <c r="N43" s="364" t="n"/>
      <c r="O43" s="364" t="n"/>
      <c r="P43" s="364" t="n"/>
      <c r="Q43" s="364" t="n"/>
      <c r="R43" s="364" t="n"/>
      <c r="S43" s="364" t="n"/>
      <c r="T43" s="364" t="n"/>
      <c r="U43" s="364" t="n"/>
      <c r="V43" s="364" t="n"/>
      <c r="W43" s="364" t="n"/>
      <c r="X43" s="364" t="n"/>
      <c r="Y43" s="364" t="n"/>
      <c r="Z43" s="364" t="n"/>
    </row>
    <row r="44">
      <c r="A44" s="364" t="n"/>
      <c r="B44" s="364" t="n"/>
      <c r="C44" s="364" t="n"/>
      <c r="D44" s="364" t="n"/>
      <c r="E44" s="364" t="n"/>
      <c r="F44" s="364" t="n"/>
      <c r="G44" s="364" t="n"/>
      <c r="H44" s="364" t="n"/>
      <c r="I44" s="364" t="n"/>
      <c r="J44" s="364" t="n"/>
      <c r="K44" s="364" t="n"/>
      <c r="L44" s="364" t="n"/>
      <c r="M44" s="364" t="n"/>
      <c r="N44" s="364" t="n"/>
      <c r="O44" s="364" t="n"/>
      <c r="P44" s="364" t="n"/>
      <c r="Q44" s="364" t="n"/>
      <c r="R44" s="364" t="n"/>
      <c r="S44" s="364" t="n"/>
      <c r="T44" s="364" t="n"/>
      <c r="U44" s="364" t="n"/>
      <c r="V44" s="364" t="n"/>
      <c r="W44" s="364" t="n"/>
      <c r="X44" s="364" t="n"/>
      <c r="Y44" s="364" t="n"/>
      <c r="Z44" s="364" t="n"/>
    </row>
    <row r="45">
      <c r="A45" s="364" t="n"/>
      <c r="B45" s="364" t="n"/>
      <c r="C45" s="364" t="n"/>
      <c r="D45" s="364" t="n"/>
      <c r="E45" s="364" t="n"/>
      <c r="F45" s="364" t="n"/>
      <c r="G45" s="364" t="n"/>
      <c r="H45" s="364" t="n"/>
      <c r="I45" s="364" t="n"/>
      <c r="J45" s="364" t="n"/>
      <c r="K45" s="364" t="n"/>
      <c r="L45" s="364" t="n"/>
      <c r="M45" s="364" t="n"/>
      <c r="N45" s="364" t="n"/>
      <c r="O45" s="364" t="n"/>
      <c r="P45" s="364" t="n"/>
      <c r="Q45" s="364" t="n"/>
      <c r="R45" s="364" t="n"/>
      <c r="S45" s="364" t="n"/>
      <c r="T45" s="364" t="n"/>
      <c r="U45" s="364" t="n"/>
      <c r="V45" s="364" t="n"/>
      <c r="W45" s="364" t="n"/>
      <c r="X45" s="364" t="n"/>
      <c r="Y45" s="364" t="n"/>
      <c r="Z45" s="364" t="n"/>
    </row>
    <row r="46">
      <c r="A46" s="364" t="n"/>
      <c r="B46" s="364" t="n"/>
      <c r="C46" s="364" t="n"/>
      <c r="D46" s="364" t="n"/>
      <c r="E46" s="364" t="n"/>
      <c r="F46" s="364" t="n"/>
      <c r="G46" s="364" t="n"/>
      <c r="H46" s="364" t="n"/>
      <c r="I46" s="364" t="n"/>
      <c r="J46" s="364" t="n"/>
      <c r="K46" s="364" t="n"/>
      <c r="L46" s="364" t="n"/>
      <c r="M46" s="364" t="n"/>
      <c r="N46" s="364" t="n"/>
      <c r="O46" s="364" t="n"/>
      <c r="P46" s="364" t="n"/>
      <c r="Q46" s="364" t="n"/>
      <c r="R46" s="364" t="n"/>
      <c r="S46" s="364" t="n"/>
      <c r="T46" s="364" t="n"/>
      <c r="U46" s="364" t="n"/>
      <c r="V46" s="364" t="n"/>
      <c r="W46" s="364" t="n"/>
      <c r="X46" s="364" t="n"/>
      <c r="Y46" s="364" t="n"/>
      <c r="Z46" s="364" t="n"/>
    </row>
    <row r="47">
      <c r="A47" s="364" t="n"/>
      <c r="B47" s="364" t="n"/>
      <c r="C47" s="364" t="n"/>
      <c r="D47" s="364" t="n"/>
      <c r="E47" s="364" t="n"/>
      <c r="F47" s="364" t="n"/>
      <c r="G47" s="364" t="n"/>
      <c r="H47" s="364" t="n"/>
      <c r="I47" s="364" t="n"/>
      <c r="J47" s="364" t="n"/>
      <c r="K47" s="364" t="n"/>
      <c r="L47" s="364" t="n"/>
      <c r="M47" s="364" t="n"/>
      <c r="N47" s="364" t="n"/>
      <c r="O47" s="364" t="n"/>
      <c r="P47" s="364" t="n"/>
      <c r="Q47" s="364" t="n"/>
      <c r="R47" s="364" t="n"/>
      <c r="S47" s="364" t="n"/>
      <c r="T47" s="364" t="n"/>
      <c r="U47" s="364" t="n"/>
      <c r="V47" s="364" t="n"/>
      <c r="W47" s="364" t="n"/>
      <c r="X47" s="364" t="n"/>
      <c r="Y47" s="364" t="n"/>
      <c r="Z47" s="364" t="n"/>
    </row>
    <row r="48">
      <c r="A48" s="364" t="n"/>
      <c r="B48" s="364" t="n"/>
      <c r="C48" s="364" t="n"/>
      <c r="D48" s="364" t="n"/>
      <c r="E48" s="364" t="n"/>
      <c r="F48" s="364" t="n"/>
      <c r="G48" s="364" t="n"/>
      <c r="H48" s="364" t="n"/>
      <c r="I48" s="364" t="n"/>
      <c r="J48" s="364" t="n"/>
      <c r="K48" s="364" t="n"/>
      <c r="L48" s="364" t="n"/>
      <c r="M48" s="364" t="n"/>
      <c r="N48" s="364" t="n"/>
      <c r="O48" s="364" t="n"/>
      <c r="P48" s="364" t="n"/>
      <c r="Q48" s="364" t="n"/>
      <c r="R48" s="364" t="n"/>
      <c r="S48" s="364" t="n"/>
      <c r="T48" s="364" t="n"/>
      <c r="U48" s="364" t="n"/>
      <c r="V48" s="364" t="n"/>
      <c r="W48" s="364" t="n"/>
      <c r="X48" s="364" t="n"/>
      <c r="Y48" s="364" t="n"/>
      <c r="Z48" s="364" t="n"/>
    </row>
    <row r="49">
      <c r="A49" s="364" t="n"/>
      <c r="B49" s="364" t="n"/>
      <c r="C49" s="364" t="n"/>
      <c r="D49" s="364" t="n"/>
      <c r="E49" s="364" t="n"/>
      <c r="F49" s="364" t="n"/>
      <c r="G49" s="364" t="n"/>
      <c r="H49" s="364" t="n"/>
      <c r="I49" s="364" t="n"/>
      <c r="J49" s="364" t="n"/>
      <c r="K49" s="364" t="n"/>
      <c r="L49" s="364" t="n"/>
      <c r="M49" s="364" t="n"/>
      <c r="N49" s="364" t="n"/>
      <c r="O49" s="364" t="n"/>
      <c r="P49" s="364" t="n"/>
      <c r="Q49" s="364" t="n"/>
      <c r="R49" s="364" t="n"/>
      <c r="S49" s="364" t="n"/>
      <c r="T49" s="364" t="n"/>
      <c r="U49" s="364" t="n"/>
      <c r="V49" s="364" t="n"/>
      <c r="W49" s="364" t="n"/>
      <c r="X49" s="364" t="n"/>
      <c r="Y49" s="364" t="n"/>
      <c r="Z49" s="364" t="n"/>
    </row>
    <row r="50">
      <c r="A50" s="364" t="n"/>
      <c r="B50" s="364" t="n"/>
      <c r="C50" s="364" t="n"/>
      <c r="D50" s="364" t="n"/>
      <c r="E50" s="364" t="n"/>
      <c r="F50" s="364" t="n"/>
      <c r="G50" s="364" t="n"/>
      <c r="H50" s="364" t="n"/>
      <c r="I50" s="364" t="n"/>
      <c r="J50" s="364" t="n"/>
      <c r="K50" s="364" t="n"/>
      <c r="L50" s="364" t="n"/>
      <c r="M50" s="364" t="n"/>
      <c r="N50" s="364" t="n"/>
      <c r="O50" s="364" t="n"/>
      <c r="P50" s="364" t="n"/>
      <c r="Q50" s="364" t="n"/>
      <c r="R50" s="364" t="n"/>
      <c r="S50" s="364" t="n"/>
      <c r="T50" s="364" t="n"/>
      <c r="U50" s="364" t="n"/>
      <c r="V50" s="364" t="n"/>
      <c r="W50" s="364" t="n"/>
      <c r="X50" s="364" t="n"/>
      <c r="Y50" s="364" t="n"/>
      <c r="Z50" s="364" t="n"/>
    </row>
    <row r="51">
      <c r="A51" s="364" t="n"/>
      <c r="B51" s="364" t="n"/>
      <c r="C51" s="364" t="n"/>
      <c r="D51" s="364" t="n"/>
      <c r="E51" s="364" t="n"/>
      <c r="F51" s="364" t="n"/>
      <c r="G51" s="364" t="n"/>
      <c r="H51" s="364" t="n"/>
      <c r="I51" s="364" t="n"/>
      <c r="J51" s="364" t="n"/>
      <c r="K51" s="364" t="n"/>
      <c r="L51" s="364" t="n"/>
      <c r="M51" s="364" t="n"/>
      <c r="N51" s="364" t="n"/>
      <c r="O51" s="364" t="n"/>
      <c r="P51" s="364" t="n"/>
      <c r="Q51" s="364" t="n"/>
      <c r="R51" s="364" t="n"/>
      <c r="S51" s="364" t="n"/>
      <c r="T51" s="364" t="n"/>
      <c r="U51" s="364" t="n"/>
      <c r="V51" s="364" t="n"/>
      <c r="W51" s="364" t="n"/>
      <c r="X51" s="364" t="n"/>
      <c r="Y51" s="364" t="n"/>
      <c r="Z51" s="364" t="n"/>
    </row>
    <row r="52">
      <c r="A52" s="364" t="n"/>
      <c r="B52" s="364" t="n"/>
      <c r="C52" s="364" t="n"/>
      <c r="D52" s="364" t="n"/>
      <c r="E52" s="364" t="n"/>
      <c r="F52" s="364" t="n"/>
      <c r="G52" s="364" t="n"/>
      <c r="H52" s="364" t="n"/>
      <c r="I52" s="364" t="n"/>
      <c r="J52" s="364" t="n"/>
      <c r="K52" s="364" t="n"/>
      <c r="L52" s="364" t="n"/>
      <c r="M52" s="364" t="n"/>
      <c r="N52" s="364" t="n"/>
      <c r="O52" s="364" t="n"/>
      <c r="P52" s="364" t="n"/>
      <c r="Q52" s="364" t="n"/>
      <c r="R52" s="364" t="n"/>
      <c r="S52" s="364" t="n"/>
      <c r="T52" s="364" t="n"/>
      <c r="U52" s="364" t="n"/>
      <c r="V52" s="364" t="n"/>
      <c r="W52" s="364" t="n"/>
      <c r="X52" s="364" t="n"/>
      <c r="Y52" s="364" t="n"/>
      <c r="Z52" s="364" t="n"/>
    </row>
    <row r="53">
      <c r="A53" s="364" t="n"/>
      <c r="B53" s="364" t="n"/>
      <c r="C53" s="364" t="n"/>
      <c r="D53" s="364" t="n"/>
      <c r="E53" s="364" t="n"/>
      <c r="F53" s="364" t="n"/>
      <c r="G53" s="364" t="n"/>
      <c r="H53" s="364" t="n"/>
      <c r="I53" s="364" t="n"/>
      <c r="J53" s="364" t="n"/>
      <c r="K53" s="364" t="n"/>
      <c r="L53" s="364" t="n"/>
      <c r="M53" s="364" t="n"/>
      <c r="N53" s="364" t="n"/>
      <c r="O53" s="364" t="n"/>
      <c r="P53" s="364" t="n"/>
      <c r="Q53" s="364" t="n"/>
      <c r="R53" s="364" t="n"/>
      <c r="S53" s="364" t="n"/>
      <c r="T53" s="364" t="n"/>
      <c r="U53" s="364" t="n"/>
      <c r="V53" s="364" t="n"/>
      <c r="W53" s="364" t="n"/>
      <c r="X53" s="364" t="n"/>
      <c r="Y53" s="364" t="n"/>
      <c r="Z53" s="364" t="n"/>
    </row>
    <row r="54">
      <c r="A54" s="364" t="n"/>
      <c r="B54" s="364" t="n"/>
      <c r="C54" s="364" t="n"/>
      <c r="D54" s="364" t="n"/>
      <c r="E54" s="364" t="n"/>
      <c r="F54" s="364" t="n"/>
      <c r="G54" s="364" t="n"/>
      <c r="H54" s="364" t="n"/>
      <c r="I54" s="364" t="n"/>
      <c r="J54" s="364" t="n"/>
      <c r="K54" s="364" t="n"/>
      <c r="L54" s="364" t="n"/>
      <c r="M54" s="364" t="n"/>
      <c r="N54" s="364" t="n"/>
      <c r="O54" s="364" t="n"/>
      <c r="P54" s="364" t="n"/>
      <c r="Q54" s="364" t="n"/>
      <c r="R54" s="364" t="n"/>
      <c r="S54" s="364" t="n"/>
      <c r="T54" s="364" t="n"/>
      <c r="U54" s="364" t="n"/>
      <c r="V54" s="364" t="n"/>
      <c r="W54" s="364" t="n"/>
      <c r="X54" s="364" t="n"/>
      <c r="Y54" s="364" t="n"/>
      <c r="Z54" s="364" t="n"/>
    </row>
    <row r="55">
      <c r="A55" s="364" t="n"/>
      <c r="B55" s="364" t="n"/>
      <c r="C55" s="364" t="n"/>
      <c r="D55" s="364" t="n"/>
      <c r="E55" s="364" t="n"/>
      <c r="F55" s="364" t="n"/>
      <c r="G55" s="364" t="n"/>
      <c r="H55" s="364" t="n"/>
      <c r="I55" s="364" t="n"/>
      <c r="J55" s="364" t="n"/>
      <c r="K55" s="364" t="n"/>
      <c r="L55" s="364" t="n"/>
      <c r="M55" s="364" t="n"/>
      <c r="N55" s="364" t="n"/>
      <c r="O55" s="364" t="n"/>
      <c r="P55" s="364" t="n"/>
      <c r="Q55" s="364" t="n"/>
      <c r="R55" s="364" t="n"/>
      <c r="S55" s="364" t="n"/>
      <c r="T55" s="364" t="n"/>
      <c r="U55" s="364" t="n"/>
      <c r="V55" s="364" t="n"/>
      <c r="W55" s="364" t="n"/>
      <c r="X55" s="364" t="n"/>
      <c r="Y55" s="364" t="n"/>
      <c r="Z55" s="364" t="n"/>
    </row>
    <row r="56">
      <c r="A56" s="364" t="n"/>
      <c r="B56" s="364" t="n"/>
      <c r="C56" s="364" t="n"/>
      <c r="D56" s="364" t="n"/>
      <c r="E56" s="364" t="n"/>
      <c r="F56" s="364" t="n"/>
      <c r="G56" s="364" t="n"/>
      <c r="H56" s="364" t="n"/>
      <c r="I56" s="364" t="n"/>
      <c r="J56" s="364" t="n"/>
      <c r="K56" s="364" t="n"/>
      <c r="L56" s="364" t="n"/>
      <c r="M56" s="364" t="n"/>
      <c r="N56" s="364" t="n"/>
      <c r="O56" s="364" t="n"/>
      <c r="P56" s="364" t="n"/>
      <c r="Q56" s="364" t="n"/>
      <c r="R56" s="364" t="n"/>
      <c r="S56" s="364" t="n"/>
      <c r="T56" s="364" t="n"/>
      <c r="U56" s="364" t="n"/>
      <c r="V56" s="364" t="n"/>
      <c r="W56" s="364" t="n"/>
      <c r="X56" s="364" t="n"/>
      <c r="Y56" s="364" t="n"/>
      <c r="Z56" s="364" t="n"/>
    </row>
    <row r="57">
      <c r="A57" s="364" t="n"/>
      <c r="B57" s="364" t="n"/>
      <c r="C57" s="364" t="n"/>
      <c r="D57" s="364" t="n"/>
      <c r="E57" s="364" t="n"/>
      <c r="F57" s="364" t="n"/>
      <c r="G57" s="364" t="n"/>
      <c r="H57" s="364" t="n"/>
      <c r="I57" s="364" t="n"/>
      <c r="J57" s="364" t="n"/>
      <c r="K57" s="364" t="n"/>
      <c r="L57" s="364" t="n"/>
      <c r="M57" s="364" t="n"/>
      <c r="N57" s="364" t="n"/>
      <c r="O57" s="364" t="n"/>
      <c r="P57" s="364" t="n"/>
      <c r="Q57" s="364" t="n"/>
      <c r="R57" s="364" t="n"/>
      <c r="S57" s="364" t="n"/>
      <c r="T57" s="364" t="n"/>
      <c r="U57" s="364" t="n"/>
      <c r="V57" s="364" t="n"/>
      <c r="W57" s="364" t="n"/>
      <c r="X57" s="364" t="n"/>
      <c r="Y57" s="364" t="n"/>
      <c r="Z57" s="364" t="n"/>
    </row>
    <row r="58">
      <c r="A58" s="364" t="n"/>
      <c r="B58" s="364" t="n"/>
      <c r="C58" s="364" t="n"/>
      <c r="D58" s="364" t="n"/>
      <c r="E58" s="364" t="n"/>
      <c r="F58" s="364" t="n"/>
      <c r="G58" s="364" t="n"/>
      <c r="H58" s="364" t="n"/>
      <c r="I58" s="364" t="n"/>
      <c r="J58" s="364" t="n"/>
      <c r="K58" s="364" t="n"/>
      <c r="L58" s="364" t="n"/>
      <c r="M58" s="364" t="n"/>
      <c r="N58" s="364" t="n"/>
      <c r="O58" s="364" t="n"/>
      <c r="P58" s="364" t="n"/>
      <c r="Q58" s="364" t="n"/>
      <c r="R58" s="364" t="n"/>
      <c r="S58" s="364" t="n"/>
      <c r="T58" s="364" t="n"/>
      <c r="U58" s="364" t="n"/>
      <c r="V58" s="364" t="n"/>
      <c r="W58" s="364" t="n"/>
      <c r="X58" s="364" t="n"/>
      <c r="Y58" s="364" t="n"/>
      <c r="Z58" s="364" t="n"/>
    </row>
    <row r="59">
      <c r="A59" s="364" t="n"/>
      <c r="B59" s="364" t="n"/>
      <c r="C59" s="364" t="n"/>
      <c r="D59" s="364" t="n"/>
      <c r="E59" s="364" t="n"/>
      <c r="F59" s="364" t="n"/>
      <c r="G59" s="364" t="n"/>
      <c r="H59" s="364" t="n"/>
      <c r="I59" s="364" t="n"/>
      <c r="J59" s="364" t="n"/>
      <c r="K59" s="364" t="n"/>
      <c r="L59" s="364" t="n"/>
      <c r="M59" s="364" t="n"/>
      <c r="N59" s="364" t="n"/>
      <c r="O59" s="364" t="n"/>
      <c r="P59" s="364" t="n"/>
      <c r="Q59" s="364" t="n"/>
      <c r="R59" s="364" t="n"/>
      <c r="S59" s="364" t="n"/>
      <c r="T59" s="364" t="n"/>
      <c r="U59" s="364" t="n"/>
      <c r="V59" s="364" t="n"/>
      <c r="W59" s="364" t="n"/>
      <c r="X59" s="364" t="n"/>
      <c r="Y59" s="364" t="n"/>
      <c r="Z59" s="364" t="n"/>
    </row>
    <row r="60">
      <c r="A60" s="364" t="n"/>
      <c r="B60" s="364" t="n"/>
      <c r="C60" s="364" t="n"/>
      <c r="D60" s="364" t="n"/>
      <c r="E60" s="364" t="n"/>
      <c r="F60" s="364" t="n"/>
      <c r="G60" s="364" t="n"/>
      <c r="H60" s="364" t="n"/>
      <c r="I60" s="364" t="n"/>
      <c r="J60" s="364" t="n"/>
      <c r="K60" s="364" t="n"/>
      <c r="L60" s="364" t="n"/>
      <c r="M60" s="364" t="n"/>
      <c r="N60" s="364" t="n"/>
      <c r="O60" s="364" t="n"/>
      <c r="P60" s="364" t="n"/>
      <c r="Q60" s="364" t="n"/>
      <c r="R60" s="364" t="n"/>
      <c r="S60" s="364" t="n"/>
      <c r="T60" s="364" t="n"/>
      <c r="U60" s="364" t="n"/>
      <c r="V60" s="364" t="n"/>
      <c r="W60" s="364" t="n"/>
      <c r="X60" s="364" t="n"/>
      <c r="Y60" s="364" t="n"/>
      <c r="Z60" s="364" t="n"/>
    </row>
    <row r="61">
      <c r="A61" s="364" t="n"/>
      <c r="B61" s="364" t="n"/>
      <c r="C61" s="364" t="n"/>
      <c r="D61" s="364" t="n"/>
      <c r="E61" s="364" t="n"/>
      <c r="F61" s="364" t="n"/>
      <c r="G61" s="364" t="n"/>
      <c r="H61" s="364" t="n"/>
      <c r="I61" s="364" t="n"/>
      <c r="J61" s="364" t="n"/>
      <c r="K61" s="364" t="n"/>
      <c r="L61" s="364" t="n"/>
      <c r="M61" s="364" t="n"/>
      <c r="N61" s="364" t="n"/>
      <c r="O61" s="364" t="n"/>
      <c r="P61" s="364" t="n"/>
      <c r="Q61" s="364" t="n"/>
      <c r="R61" s="364" t="n"/>
      <c r="S61" s="364" t="n"/>
      <c r="T61" s="364" t="n"/>
      <c r="U61" s="364" t="n"/>
      <c r="V61" s="364" t="n"/>
      <c r="W61" s="364" t="n"/>
      <c r="X61" s="364" t="n"/>
      <c r="Y61" s="364" t="n"/>
      <c r="Z61" s="364" t="n"/>
    </row>
    <row r="62">
      <c r="A62" s="364" t="n"/>
      <c r="B62" s="364" t="n"/>
      <c r="C62" s="364" t="n"/>
      <c r="D62" s="364" t="n"/>
      <c r="E62" s="364" t="n"/>
      <c r="F62" s="364" t="n"/>
      <c r="G62" s="364" t="n"/>
      <c r="H62" s="364" t="n"/>
      <c r="I62" s="364" t="n"/>
      <c r="J62" s="364" t="n"/>
      <c r="K62" s="364" t="n"/>
      <c r="L62" s="364" t="n"/>
      <c r="M62" s="364" t="n"/>
      <c r="N62" s="364" t="n"/>
      <c r="O62" s="364" t="n"/>
      <c r="P62" s="364" t="n"/>
      <c r="Q62" s="364" t="n"/>
      <c r="R62" s="364" t="n"/>
      <c r="S62" s="364" t="n"/>
      <c r="T62" s="364" t="n"/>
      <c r="U62" s="364" t="n"/>
      <c r="V62" s="364" t="n"/>
      <c r="W62" s="364" t="n"/>
      <c r="X62" s="364" t="n"/>
      <c r="Y62" s="364" t="n"/>
      <c r="Z62" s="364" t="n"/>
    </row>
    <row r="63">
      <c r="A63" s="364" t="n"/>
      <c r="B63" s="364" t="n"/>
      <c r="C63" s="364" t="n"/>
      <c r="D63" s="364" t="n"/>
      <c r="E63" s="364" t="n"/>
      <c r="F63" s="364" t="n"/>
      <c r="G63" s="364" t="n"/>
      <c r="H63" s="364" t="n"/>
      <c r="I63" s="364" t="n"/>
      <c r="J63" s="364" t="n"/>
      <c r="K63" s="364" t="n"/>
      <c r="L63" s="364" t="n"/>
      <c r="M63" s="364" t="n"/>
      <c r="N63" s="364" t="n"/>
      <c r="O63" s="364" t="n"/>
      <c r="P63" s="364" t="n"/>
      <c r="Q63" s="364" t="n"/>
      <c r="R63" s="364" t="n"/>
      <c r="S63" s="364" t="n"/>
      <c r="T63" s="364" t="n"/>
      <c r="U63" s="364" t="n"/>
      <c r="V63" s="364" t="n"/>
      <c r="W63" s="364" t="n"/>
      <c r="X63" s="364" t="n"/>
      <c r="Y63" s="364" t="n"/>
      <c r="Z63" s="364" t="n"/>
    </row>
    <row r="64">
      <c r="A64" s="364" t="n"/>
      <c r="B64" s="364" t="n"/>
      <c r="C64" s="364" t="n"/>
      <c r="D64" s="364" t="n"/>
      <c r="E64" s="364" t="n"/>
      <c r="F64" s="364" t="n"/>
      <c r="G64" s="364" t="n"/>
      <c r="H64" s="364" t="n"/>
      <c r="I64" s="364" t="n"/>
      <c r="J64" s="364" t="n"/>
      <c r="K64" s="364" t="n"/>
      <c r="L64" s="364" t="n"/>
      <c r="M64" s="364" t="n"/>
      <c r="N64" s="364" t="n"/>
      <c r="O64" s="364" t="n"/>
      <c r="P64" s="364" t="n"/>
      <c r="Q64" s="364" t="n"/>
      <c r="R64" s="364" t="n"/>
      <c r="S64" s="364" t="n"/>
      <c r="T64" s="364" t="n"/>
      <c r="U64" s="364" t="n"/>
      <c r="V64" s="364" t="n"/>
      <c r="W64" s="364" t="n"/>
      <c r="X64" s="364" t="n"/>
      <c r="Y64" s="364" t="n"/>
      <c r="Z64" s="364" t="n"/>
    </row>
    <row r="65">
      <c r="A65" s="364" t="n"/>
      <c r="B65" s="364" t="n"/>
      <c r="C65" s="364" t="n"/>
      <c r="D65" s="364" t="n"/>
      <c r="E65" s="364" t="n"/>
      <c r="F65" s="364" t="n"/>
      <c r="G65" s="364" t="n"/>
      <c r="H65" s="364" t="n"/>
      <c r="I65" s="364" t="n"/>
      <c r="J65" s="364" t="n"/>
      <c r="K65" s="364" t="n"/>
      <c r="L65" s="364" t="n"/>
      <c r="M65" s="364" t="n"/>
      <c r="N65" s="364" t="n"/>
      <c r="O65" s="364" t="n"/>
      <c r="P65" s="364" t="n"/>
      <c r="Q65" s="364" t="n"/>
      <c r="R65" s="364" t="n"/>
      <c r="S65" s="364" t="n"/>
      <c r="T65" s="364" t="n"/>
      <c r="U65" s="364" t="n"/>
      <c r="V65" s="364" t="n"/>
      <c r="W65" s="364" t="n"/>
      <c r="X65" s="364" t="n"/>
      <c r="Y65" s="364" t="n"/>
      <c r="Z65" s="364" t="n"/>
    </row>
    <row r="66">
      <c r="A66" s="364" t="n"/>
      <c r="B66" s="364" t="n"/>
      <c r="C66" s="364" t="n"/>
      <c r="D66" s="364" t="n"/>
      <c r="E66" s="364" t="n"/>
      <c r="F66" s="364" t="n"/>
      <c r="G66" s="364" t="n"/>
      <c r="H66" s="364" t="n"/>
      <c r="I66" s="364" t="n"/>
      <c r="J66" s="364" t="n"/>
      <c r="K66" s="364" t="n"/>
      <c r="L66" s="364" t="n"/>
      <c r="M66" s="364" t="n"/>
      <c r="N66" s="364" t="n"/>
      <c r="O66" s="364" t="n"/>
      <c r="P66" s="364" t="n"/>
      <c r="Q66" s="364" t="n"/>
      <c r="R66" s="364" t="n"/>
      <c r="S66" s="364" t="n"/>
      <c r="T66" s="364" t="n"/>
      <c r="U66" s="364" t="n"/>
      <c r="V66" s="364" t="n"/>
      <c r="W66" s="364" t="n"/>
      <c r="X66" s="364" t="n"/>
      <c r="Y66" s="364" t="n"/>
      <c r="Z66" s="364" t="n"/>
    </row>
    <row r="67">
      <c r="A67" s="364" t="n"/>
      <c r="B67" s="364" t="n"/>
      <c r="C67" s="364" t="n"/>
      <c r="D67" s="364" t="n"/>
      <c r="E67" s="364" t="n"/>
      <c r="F67" s="364" t="n"/>
      <c r="G67" s="364" t="n"/>
      <c r="H67" s="364" t="n"/>
      <c r="I67" s="364" t="n"/>
      <c r="J67" s="364" t="n"/>
      <c r="K67" s="364" t="n"/>
      <c r="L67" s="364" t="n"/>
      <c r="M67" s="364" t="n"/>
      <c r="N67" s="364" t="n"/>
      <c r="O67" s="364" t="n"/>
      <c r="P67" s="364" t="n"/>
      <c r="Q67" s="364" t="n"/>
      <c r="R67" s="364" t="n"/>
      <c r="S67" s="364" t="n"/>
      <c r="T67" s="364" t="n"/>
      <c r="U67" s="364" t="n"/>
      <c r="V67" s="364" t="n"/>
      <c r="W67" s="364" t="n"/>
      <c r="X67" s="364" t="n"/>
      <c r="Y67" s="364" t="n"/>
      <c r="Z67" s="364" t="n"/>
    </row>
    <row r="68">
      <c r="A68" s="364" t="n"/>
      <c r="B68" s="364" t="n"/>
      <c r="C68" s="364" t="n"/>
      <c r="D68" s="364" t="n"/>
      <c r="E68" s="364" t="n"/>
      <c r="F68" s="364" t="n"/>
      <c r="G68" s="364" t="n"/>
      <c r="H68" s="364" t="n"/>
      <c r="I68" s="364" t="n"/>
      <c r="J68" s="364" t="n"/>
      <c r="K68" s="364" t="n"/>
      <c r="L68" s="364" t="n"/>
      <c r="M68" s="364" t="n"/>
      <c r="N68" s="364" t="n"/>
      <c r="O68" s="364" t="n"/>
      <c r="P68" s="364" t="n"/>
      <c r="Q68" s="364" t="n"/>
      <c r="R68" s="364" t="n"/>
      <c r="S68" s="364" t="n"/>
      <c r="T68" s="364" t="n"/>
      <c r="U68" s="364" t="n"/>
      <c r="V68" s="364" t="n"/>
      <c r="W68" s="364" t="n"/>
      <c r="X68" s="364" t="n"/>
      <c r="Y68" s="364" t="n"/>
      <c r="Z68" s="364" t="n"/>
    </row>
    <row r="69">
      <c r="A69" s="364" t="n"/>
      <c r="B69" s="364" t="n"/>
      <c r="C69" s="364" t="n"/>
      <c r="D69" s="364" t="n"/>
      <c r="E69" s="364" t="n"/>
      <c r="F69" s="364" t="n"/>
      <c r="G69" s="364" t="n"/>
      <c r="H69" s="364" t="n"/>
      <c r="I69" s="364" t="n"/>
      <c r="J69" s="364" t="n"/>
      <c r="K69" s="364" t="n"/>
      <c r="L69" s="364" t="n"/>
      <c r="M69" s="364" t="n"/>
      <c r="N69" s="364" t="n"/>
      <c r="O69" s="364" t="n"/>
      <c r="P69" s="364" t="n"/>
      <c r="Q69" s="364" t="n"/>
      <c r="R69" s="364" t="n"/>
      <c r="S69" s="364" t="n"/>
      <c r="T69" s="364" t="n"/>
      <c r="U69" s="364" t="n"/>
      <c r="V69" s="364" t="n"/>
      <c r="W69" s="364" t="n"/>
      <c r="X69" s="364" t="n"/>
      <c r="Y69" s="364" t="n"/>
      <c r="Z69" s="364" t="n"/>
    </row>
    <row r="70">
      <c r="A70" s="364" t="n"/>
      <c r="B70" s="364" t="n"/>
      <c r="C70" s="364" t="n"/>
      <c r="D70" s="364" t="n"/>
      <c r="E70" s="364" t="n"/>
      <c r="F70" s="364" t="n"/>
      <c r="G70" s="364" t="n"/>
      <c r="H70" s="364" t="n"/>
      <c r="I70" s="364" t="n"/>
      <c r="J70" s="364" t="n"/>
      <c r="K70" s="364" t="n"/>
      <c r="L70" s="364" t="n"/>
      <c r="M70" s="364" t="n"/>
      <c r="N70" s="364" t="n"/>
      <c r="O70" s="364" t="n"/>
      <c r="P70" s="364" t="n"/>
      <c r="Q70" s="364" t="n"/>
      <c r="R70" s="364" t="n"/>
      <c r="S70" s="364" t="n"/>
      <c r="T70" s="364" t="n"/>
      <c r="U70" s="364" t="n"/>
      <c r="V70" s="364" t="n"/>
      <c r="W70" s="364" t="n"/>
      <c r="X70" s="364" t="n"/>
      <c r="Y70" s="364" t="n"/>
      <c r="Z70" s="364" t="n"/>
    </row>
    <row r="71">
      <c r="A71" s="364" t="n"/>
      <c r="B71" s="364" t="n"/>
      <c r="C71" s="364" t="n"/>
      <c r="D71" s="364" t="n"/>
      <c r="E71" s="364" t="n"/>
      <c r="F71" s="364" t="n"/>
      <c r="G71" s="364" t="n"/>
      <c r="H71" s="364" t="n"/>
      <c r="I71" s="364" t="n"/>
      <c r="J71" s="364" t="n"/>
      <c r="K71" s="364" t="n"/>
      <c r="L71" s="364" t="n"/>
      <c r="M71" s="364" t="n"/>
      <c r="N71" s="364" t="n"/>
      <c r="O71" s="364" t="n"/>
      <c r="P71" s="364" t="n"/>
      <c r="Q71" s="364" t="n"/>
      <c r="R71" s="364" t="n"/>
      <c r="S71" s="364" t="n"/>
      <c r="T71" s="364" t="n"/>
      <c r="U71" s="364" t="n"/>
      <c r="V71" s="364" t="n"/>
      <c r="W71" s="364" t="n"/>
      <c r="X71" s="364" t="n"/>
      <c r="Y71" s="364" t="n"/>
      <c r="Z71" s="364" t="n"/>
    </row>
    <row r="72">
      <c r="A72" s="364" t="n"/>
      <c r="B72" s="364" t="n"/>
      <c r="C72" s="364" t="n"/>
      <c r="D72" s="364" t="n"/>
      <c r="E72" s="364" t="n"/>
      <c r="F72" s="364" t="n"/>
      <c r="G72" s="364" t="n"/>
      <c r="H72" s="364" t="n"/>
      <c r="I72" s="364" t="n"/>
      <c r="J72" s="364" t="n"/>
      <c r="K72" s="364" t="n"/>
      <c r="L72" s="364" t="n"/>
      <c r="M72" s="364" t="n"/>
      <c r="N72" s="364" t="n"/>
      <c r="O72" s="364" t="n"/>
      <c r="P72" s="364" t="n"/>
      <c r="Q72" s="364" t="n"/>
      <c r="R72" s="364" t="n"/>
      <c r="S72" s="364" t="n"/>
      <c r="T72" s="364" t="n"/>
      <c r="U72" s="364" t="n"/>
      <c r="V72" s="364" t="n"/>
      <c r="W72" s="364" t="n"/>
      <c r="X72" s="364" t="n"/>
      <c r="Y72" s="364" t="n"/>
      <c r="Z72" s="364" t="n"/>
    </row>
    <row r="73">
      <c r="A73" s="364" t="n"/>
      <c r="B73" s="364" t="n"/>
      <c r="C73" s="364" t="n"/>
      <c r="D73" s="364" t="n"/>
      <c r="E73" s="364" t="n"/>
      <c r="F73" s="364" t="n"/>
      <c r="G73" s="364" t="n"/>
      <c r="H73" s="364" t="n"/>
      <c r="I73" s="364" t="n"/>
      <c r="J73" s="364" t="n"/>
      <c r="K73" s="364" t="n"/>
      <c r="L73" s="364" t="n"/>
      <c r="M73" s="364" t="n"/>
      <c r="N73" s="364" t="n"/>
      <c r="O73" s="364" t="n"/>
      <c r="P73" s="364" t="n"/>
      <c r="Q73" s="364" t="n"/>
      <c r="R73" s="364" t="n"/>
      <c r="S73" s="364" t="n"/>
      <c r="T73" s="364" t="n"/>
      <c r="U73" s="364" t="n"/>
      <c r="V73" s="364" t="n"/>
      <c r="W73" s="364" t="n"/>
      <c r="X73" s="364" t="n"/>
      <c r="Y73" s="364" t="n"/>
      <c r="Z73" s="364" t="n"/>
    </row>
    <row r="74">
      <c r="A74" s="364" t="n"/>
      <c r="B74" s="364" t="n"/>
      <c r="C74" s="364" t="n"/>
      <c r="D74" s="364" t="n"/>
      <c r="E74" s="364" t="n"/>
      <c r="F74" s="364" t="n"/>
      <c r="G74" s="364" t="n"/>
      <c r="H74" s="364" t="n"/>
      <c r="I74" s="364" t="n"/>
      <c r="J74" s="364" t="n"/>
      <c r="K74" s="364" t="n"/>
      <c r="L74" s="364" t="n"/>
      <c r="M74" s="364" t="n"/>
      <c r="N74" s="364" t="n"/>
      <c r="O74" s="364" t="n"/>
      <c r="P74" s="364" t="n"/>
      <c r="Q74" s="364" t="n"/>
      <c r="R74" s="364" t="n"/>
      <c r="S74" s="364" t="n"/>
      <c r="T74" s="364" t="n"/>
      <c r="U74" s="364" t="n"/>
      <c r="V74" s="364" t="n"/>
      <c r="W74" s="364" t="n"/>
      <c r="X74" s="364" t="n"/>
      <c r="Y74" s="364" t="n"/>
      <c r="Z74" s="364" t="n"/>
    </row>
    <row r="75">
      <c r="A75" s="364" t="n"/>
      <c r="B75" s="364" t="n"/>
      <c r="C75" s="364" t="n"/>
      <c r="D75" s="364" t="n"/>
      <c r="E75" s="364" t="n"/>
      <c r="F75" s="364" t="n"/>
      <c r="G75" s="364" t="n"/>
      <c r="H75" s="364" t="n"/>
      <c r="I75" s="364" t="n"/>
      <c r="J75" s="364" t="n"/>
      <c r="K75" s="364" t="n"/>
      <c r="L75" s="364" t="n"/>
      <c r="M75" s="364" t="n"/>
      <c r="N75" s="364" t="n"/>
      <c r="O75" s="364" t="n"/>
      <c r="P75" s="364" t="n"/>
      <c r="Q75" s="364" t="n"/>
      <c r="R75" s="364" t="n"/>
      <c r="S75" s="364" t="n"/>
      <c r="T75" s="364" t="n"/>
      <c r="U75" s="364" t="n"/>
      <c r="V75" s="364" t="n"/>
      <c r="W75" s="364" t="n"/>
      <c r="X75" s="364" t="n"/>
      <c r="Y75" s="364" t="n"/>
      <c r="Z75" s="364" t="n"/>
    </row>
    <row r="76">
      <c r="A76" s="364" t="n"/>
      <c r="B76" s="364" t="n"/>
      <c r="C76" s="364" t="n"/>
      <c r="D76" s="364" t="n"/>
      <c r="E76" s="364" t="n"/>
      <c r="F76" s="364" t="n"/>
      <c r="G76" s="364" t="n"/>
      <c r="H76" s="364" t="n"/>
      <c r="I76" s="364" t="n"/>
      <c r="J76" s="364" t="n"/>
      <c r="K76" s="364" t="n"/>
      <c r="L76" s="364" t="n"/>
      <c r="M76" s="364" t="n"/>
      <c r="N76" s="364" t="n"/>
      <c r="O76" s="364" t="n"/>
      <c r="P76" s="364" t="n"/>
      <c r="Q76" s="364" t="n"/>
      <c r="R76" s="364" t="n"/>
      <c r="S76" s="364" t="n"/>
      <c r="T76" s="364" t="n"/>
      <c r="U76" s="364" t="n"/>
      <c r="V76" s="364" t="n"/>
      <c r="W76" s="364" t="n"/>
      <c r="X76" s="364" t="n"/>
      <c r="Y76" s="364" t="n"/>
      <c r="Z76" s="364" t="n"/>
    </row>
    <row r="77">
      <c r="A77" s="364" t="n"/>
      <c r="B77" s="364" t="n"/>
      <c r="C77" s="364" t="n"/>
      <c r="D77" s="364" t="n"/>
      <c r="E77" s="364" t="n"/>
      <c r="F77" s="364" t="n"/>
      <c r="G77" s="364" t="n"/>
      <c r="H77" s="364" t="n"/>
      <c r="I77" s="364" t="n"/>
      <c r="J77" s="364" t="n"/>
      <c r="K77" s="364" t="n"/>
      <c r="L77" s="364" t="n"/>
      <c r="M77" s="364" t="n"/>
      <c r="N77" s="364" t="n"/>
      <c r="O77" s="364" t="n"/>
      <c r="P77" s="364" t="n"/>
      <c r="Q77" s="364" t="n"/>
      <c r="R77" s="364" t="n"/>
      <c r="S77" s="364" t="n"/>
      <c r="T77" s="364" t="n"/>
      <c r="U77" s="364" t="n"/>
      <c r="V77" s="364" t="n"/>
      <c r="W77" s="364" t="n"/>
      <c r="X77" s="364" t="n"/>
      <c r="Y77" s="364" t="n"/>
      <c r="Z77" s="364" t="n"/>
    </row>
    <row r="78">
      <c r="A78" s="364" t="n"/>
      <c r="B78" s="364" t="n"/>
      <c r="C78" s="364" t="n"/>
      <c r="D78" s="364" t="n"/>
      <c r="E78" s="364" t="n"/>
      <c r="F78" s="364" t="n"/>
      <c r="G78" s="364" t="n"/>
      <c r="H78" s="364" t="n"/>
      <c r="I78" s="364" t="n"/>
      <c r="J78" s="364" t="n"/>
      <c r="K78" s="364" t="n"/>
      <c r="L78" s="364" t="n"/>
      <c r="M78" s="364" t="n"/>
      <c r="N78" s="364" t="n"/>
      <c r="O78" s="364" t="n"/>
      <c r="P78" s="364" t="n"/>
      <c r="Q78" s="364" t="n"/>
      <c r="R78" s="364" t="n"/>
      <c r="S78" s="364" t="n"/>
      <c r="T78" s="364" t="n"/>
      <c r="U78" s="364" t="n"/>
      <c r="V78" s="364" t="n"/>
      <c r="W78" s="364" t="n"/>
      <c r="X78" s="364" t="n"/>
      <c r="Y78" s="364" t="n"/>
      <c r="Z78" s="364" t="n"/>
    </row>
    <row r="79">
      <c r="A79" s="364" t="n"/>
      <c r="B79" s="364" t="n"/>
      <c r="C79" s="364" t="n"/>
      <c r="D79" s="364" t="n"/>
      <c r="E79" s="364" t="n"/>
      <c r="F79" s="364" t="n"/>
      <c r="G79" s="364" t="n"/>
      <c r="H79" s="364" t="n"/>
      <c r="I79" s="364" t="n"/>
      <c r="J79" s="364" t="n"/>
      <c r="K79" s="364" t="n"/>
      <c r="L79" s="364" t="n"/>
      <c r="M79" s="364" t="n"/>
      <c r="N79" s="364" t="n"/>
      <c r="O79" s="364" t="n"/>
      <c r="P79" s="364" t="n"/>
      <c r="Q79" s="364" t="n"/>
      <c r="R79" s="364" t="n"/>
      <c r="S79" s="364" t="n"/>
      <c r="T79" s="364" t="n"/>
      <c r="U79" s="364" t="n"/>
      <c r="V79" s="364" t="n"/>
      <c r="W79" s="364" t="n"/>
      <c r="X79" s="364" t="n"/>
      <c r="Y79" s="364" t="n"/>
      <c r="Z79" s="364" t="n"/>
    </row>
    <row r="80">
      <c r="A80" s="364" t="n"/>
      <c r="B80" s="364" t="n"/>
      <c r="C80" s="364" t="n"/>
      <c r="D80" s="364" t="n"/>
      <c r="E80" s="364" t="n"/>
      <c r="F80" s="364" t="n"/>
      <c r="G80" s="364" t="n"/>
      <c r="H80" s="364" t="n"/>
      <c r="I80" s="364" t="n"/>
      <c r="J80" s="364" t="n"/>
      <c r="K80" s="364" t="n"/>
      <c r="L80" s="364" t="n"/>
      <c r="M80" s="364" t="n"/>
      <c r="N80" s="364" t="n"/>
      <c r="O80" s="364" t="n"/>
      <c r="P80" s="364" t="n"/>
      <c r="Q80" s="364" t="n"/>
      <c r="R80" s="364" t="n"/>
      <c r="S80" s="364" t="n"/>
      <c r="T80" s="364" t="n"/>
      <c r="U80" s="364" t="n"/>
      <c r="V80" s="364" t="n"/>
      <c r="W80" s="364" t="n"/>
      <c r="X80" s="364" t="n"/>
      <c r="Y80" s="364" t="n"/>
      <c r="Z80" s="364" t="n"/>
    </row>
    <row r="81">
      <c r="A81" s="364" t="n"/>
      <c r="B81" s="364" t="n"/>
      <c r="C81" s="364" t="n"/>
      <c r="D81" s="364" t="n"/>
      <c r="E81" s="364" t="n"/>
      <c r="F81" s="364" t="n"/>
      <c r="G81" s="364" t="n"/>
      <c r="H81" s="364" t="n"/>
      <c r="I81" s="364" t="n"/>
      <c r="J81" s="364" t="n"/>
      <c r="K81" s="364" t="n"/>
      <c r="L81" s="364" t="n"/>
      <c r="M81" s="364" t="n"/>
      <c r="N81" s="364" t="n"/>
      <c r="O81" s="364" t="n"/>
      <c r="P81" s="364" t="n"/>
      <c r="Q81" s="364" t="n"/>
      <c r="R81" s="364" t="n"/>
      <c r="S81" s="364" t="n"/>
      <c r="T81" s="364" t="n"/>
      <c r="U81" s="364" t="n"/>
      <c r="V81" s="364" t="n"/>
      <c r="W81" s="364" t="n"/>
      <c r="X81" s="364" t="n"/>
      <c r="Y81" s="364" t="n"/>
      <c r="Z81" s="364" t="n"/>
    </row>
    <row r="82">
      <c r="A82" s="364" t="n"/>
      <c r="B82" s="364" t="n"/>
      <c r="C82" s="364" t="n"/>
      <c r="D82" s="364" t="n"/>
      <c r="E82" s="364" t="n"/>
      <c r="F82" s="364" t="n"/>
      <c r="G82" s="364" t="n"/>
      <c r="H82" s="364" t="n"/>
      <c r="I82" s="364" t="n"/>
      <c r="J82" s="364" t="n"/>
      <c r="K82" s="364" t="n"/>
      <c r="L82" s="364" t="n"/>
      <c r="M82" s="364" t="n"/>
      <c r="N82" s="364" t="n"/>
      <c r="O82" s="364" t="n"/>
      <c r="P82" s="364" t="n"/>
      <c r="Q82" s="364" t="n"/>
      <c r="R82" s="364" t="n"/>
      <c r="S82" s="364" t="n"/>
      <c r="T82" s="364" t="n"/>
      <c r="U82" s="364" t="n"/>
      <c r="V82" s="364" t="n"/>
      <c r="W82" s="364" t="n"/>
      <c r="X82" s="364" t="n"/>
      <c r="Y82" s="364" t="n"/>
      <c r="Z82" s="364" t="n"/>
    </row>
    <row r="83">
      <c r="A83" s="364" t="n"/>
      <c r="B83" s="364" t="n"/>
      <c r="C83" s="364" t="n"/>
      <c r="D83" s="364" t="n"/>
      <c r="E83" s="364" t="n"/>
      <c r="F83" s="364" t="n"/>
      <c r="G83" s="364" t="n"/>
      <c r="H83" s="364" t="n"/>
      <c r="I83" s="364" t="n"/>
      <c r="J83" s="364" t="n"/>
      <c r="K83" s="364" t="n"/>
      <c r="L83" s="364" t="n"/>
      <c r="M83" s="364" t="n"/>
      <c r="N83" s="364" t="n"/>
      <c r="O83" s="364" t="n"/>
      <c r="P83" s="364" t="n"/>
      <c r="Q83" s="364" t="n"/>
      <c r="R83" s="364" t="n"/>
      <c r="S83" s="364" t="n"/>
      <c r="T83" s="364" t="n"/>
      <c r="U83" s="364" t="n"/>
      <c r="V83" s="364" t="n"/>
      <c r="W83" s="364" t="n"/>
      <c r="X83" s="364" t="n"/>
      <c r="Y83" s="364" t="n"/>
      <c r="Z83" s="364" t="n"/>
    </row>
    <row r="84">
      <c r="A84" s="364" t="n"/>
      <c r="B84" s="364" t="n"/>
      <c r="C84" s="364" t="n"/>
      <c r="D84" s="364" t="n"/>
      <c r="E84" s="364" t="n"/>
      <c r="F84" s="364" t="n"/>
      <c r="G84" s="364" t="n"/>
      <c r="H84" s="364" t="n"/>
      <c r="I84" s="364" t="n"/>
      <c r="J84" s="364" t="n"/>
      <c r="K84" s="364" t="n"/>
      <c r="L84" s="364" t="n"/>
      <c r="M84" s="364" t="n"/>
      <c r="N84" s="364" t="n"/>
      <c r="O84" s="364" t="n"/>
      <c r="P84" s="364" t="n"/>
      <c r="Q84" s="364" t="n"/>
      <c r="R84" s="364" t="n"/>
      <c r="S84" s="364" t="n"/>
      <c r="T84" s="364" t="n"/>
      <c r="U84" s="364" t="n"/>
      <c r="V84" s="364" t="n"/>
      <c r="W84" s="364" t="n"/>
      <c r="X84" s="364" t="n"/>
      <c r="Y84" s="364" t="n"/>
      <c r="Z84" s="364" t="n"/>
    </row>
    <row r="85">
      <c r="A85" s="364" t="n"/>
      <c r="B85" s="364" t="n"/>
      <c r="C85" s="364" t="n"/>
      <c r="D85" s="364" t="n"/>
      <c r="E85" s="364" t="n"/>
      <c r="F85" s="364" t="n"/>
      <c r="G85" s="364" t="n"/>
      <c r="H85" s="364" t="n"/>
      <c r="I85" s="364" t="n"/>
      <c r="J85" s="364" t="n"/>
      <c r="K85" s="364" t="n"/>
      <c r="L85" s="364" t="n"/>
      <c r="M85" s="364" t="n"/>
      <c r="N85" s="364" t="n"/>
      <c r="O85" s="364" t="n"/>
      <c r="P85" s="364" t="n"/>
      <c r="Q85" s="364" t="n"/>
      <c r="R85" s="364" t="n"/>
      <c r="S85" s="364" t="n"/>
      <c r="T85" s="364" t="n"/>
      <c r="U85" s="364" t="n"/>
      <c r="V85" s="364" t="n"/>
      <c r="W85" s="364" t="n"/>
      <c r="X85" s="364" t="n"/>
      <c r="Y85" s="364" t="n"/>
      <c r="Z85" s="364" t="n"/>
    </row>
    <row r="86">
      <c r="A86" s="364" t="n"/>
      <c r="B86" s="364" t="n"/>
      <c r="C86" s="364" t="n"/>
      <c r="D86" s="364" t="n"/>
      <c r="E86" s="364" t="n"/>
      <c r="F86" s="364" t="n"/>
      <c r="G86" s="364" t="n"/>
      <c r="H86" s="364" t="n"/>
      <c r="I86" s="364" t="n"/>
      <c r="J86" s="364" t="n"/>
      <c r="K86" s="364" t="n"/>
      <c r="L86" s="364" t="n"/>
      <c r="M86" s="364" t="n"/>
      <c r="N86" s="364" t="n"/>
      <c r="O86" s="364" t="n"/>
      <c r="P86" s="364" t="n"/>
      <c r="Q86" s="364" t="n"/>
      <c r="R86" s="364" t="n"/>
      <c r="S86" s="364" t="n"/>
      <c r="T86" s="364" t="n"/>
      <c r="U86" s="364" t="n"/>
      <c r="V86" s="364" t="n"/>
      <c r="W86" s="364" t="n"/>
      <c r="X86" s="364" t="n"/>
      <c r="Y86" s="364" t="n"/>
      <c r="Z86" s="364" t="n"/>
    </row>
    <row r="87">
      <c r="A87" s="364" t="n"/>
      <c r="B87" s="364" t="n"/>
      <c r="C87" s="364" t="n"/>
      <c r="D87" s="364" t="n"/>
      <c r="E87" s="364" t="n"/>
      <c r="F87" s="364" t="n"/>
      <c r="G87" s="364" t="n"/>
      <c r="H87" s="364" t="n"/>
      <c r="I87" s="364" t="n"/>
      <c r="J87" s="364" t="n"/>
      <c r="K87" s="364" t="n"/>
      <c r="L87" s="364" t="n"/>
      <c r="M87" s="364" t="n"/>
      <c r="N87" s="364" t="n"/>
      <c r="O87" s="364" t="n"/>
      <c r="P87" s="364" t="n"/>
      <c r="Q87" s="364" t="n"/>
      <c r="R87" s="364" t="n"/>
      <c r="S87" s="364" t="n"/>
      <c r="T87" s="364" t="n"/>
      <c r="U87" s="364" t="n"/>
      <c r="V87" s="364" t="n"/>
      <c r="W87" s="364" t="n"/>
      <c r="X87" s="364" t="n"/>
      <c r="Y87" s="364" t="n"/>
      <c r="Z87" s="364" t="n"/>
    </row>
    <row r="88">
      <c r="A88" s="364" t="n"/>
      <c r="B88" s="364" t="n"/>
      <c r="C88" s="364" t="n"/>
      <c r="D88" s="364" t="n"/>
      <c r="E88" s="364" t="n"/>
      <c r="F88" s="364" t="n"/>
      <c r="G88" s="364" t="n"/>
      <c r="H88" s="364" t="n"/>
      <c r="I88" s="364" t="n"/>
      <c r="J88" s="364" t="n"/>
      <c r="K88" s="364" t="n"/>
      <c r="L88" s="364" t="n"/>
      <c r="M88" s="364" t="n"/>
      <c r="N88" s="364" t="n"/>
      <c r="O88" s="364" t="n"/>
      <c r="P88" s="364" t="n"/>
      <c r="Q88" s="364" t="n"/>
      <c r="R88" s="364" t="n"/>
      <c r="S88" s="364" t="n"/>
      <c r="T88" s="364" t="n"/>
      <c r="U88" s="364" t="n"/>
      <c r="V88" s="364" t="n"/>
      <c r="W88" s="364" t="n"/>
      <c r="X88" s="364" t="n"/>
      <c r="Y88" s="364" t="n"/>
      <c r="Z88" s="364" t="n"/>
    </row>
    <row r="89">
      <c r="A89" s="364" t="n"/>
      <c r="B89" s="364" t="n"/>
      <c r="C89" s="364" t="n"/>
      <c r="D89" s="364" t="n"/>
      <c r="E89" s="364" t="n"/>
      <c r="F89" s="364" t="n"/>
      <c r="G89" s="364" t="n"/>
      <c r="H89" s="364" t="n"/>
      <c r="I89" s="364" t="n"/>
      <c r="J89" s="364" t="n"/>
      <c r="K89" s="364" t="n"/>
      <c r="L89" s="364" t="n"/>
      <c r="M89" s="364" t="n"/>
      <c r="N89" s="364" t="n"/>
      <c r="O89" s="364" t="n"/>
      <c r="P89" s="364" t="n"/>
      <c r="Q89" s="364" t="n"/>
      <c r="R89" s="364" t="n"/>
      <c r="S89" s="364" t="n"/>
      <c r="T89" s="364" t="n"/>
      <c r="U89" s="364" t="n"/>
      <c r="V89" s="364" t="n"/>
      <c r="W89" s="364" t="n"/>
      <c r="X89" s="364" t="n"/>
      <c r="Y89" s="364" t="n"/>
      <c r="Z89" s="364" t="n"/>
    </row>
    <row r="90">
      <c r="A90" s="364" t="n"/>
      <c r="B90" s="364" t="n"/>
      <c r="C90" s="364" t="n"/>
      <c r="D90" s="364" t="n"/>
      <c r="E90" s="364" t="n"/>
      <c r="F90" s="364" t="n"/>
      <c r="G90" s="364" t="n"/>
      <c r="H90" s="364" t="n"/>
      <c r="I90" s="364" t="n"/>
      <c r="J90" s="364" t="n"/>
      <c r="K90" s="364" t="n"/>
      <c r="L90" s="364" t="n"/>
      <c r="M90" s="364" t="n"/>
      <c r="N90" s="364" t="n"/>
      <c r="O90" s="364" t="n"/>
      <c r="P90" s="364" t="n"/>
      <c r="Q90" s="364" t="n"/>
      <c r="R90" s="364" t="n"/>
      <c r="S90" s="364" t="n"/>
      <c r="T90" s="364" t="n"/>
      <c r="U90" s="364" t="n"/>
      <c r="V90" s="364" t="n"/>
      <c r="W90" s="364" t="n"/>
      <c r="X90" s="364" t="n"/>
      <c r="Y90" s="364" t="n"/>
      <c r="Z90" s="364" t="n"/>
    </row>
    <row r="91">
      <c r="A91" s="364" t="n"/>
      <c r="B91" s="364" t="n"/>
      <c r="C91" s="364" t="n"/>
      <c r="D91" s="364" t="n"/>
      <c r="E91" s="364" t="n"/>
      <c r="F91" s="364" t="n"/>
      <c r="G91" s="364" t="n"/>
      <c r="H91" s="364" t="n"/>
      <c r="I91" s="364" t="n"/>
      <c r="J91" s="364" t="n"/>
      <c r="K91" s="364" t="n"/>
      <c r="L91" s="364" t="n"/>
      <c r="M91" s="364" t="n"/>
      <c r="N91" s="364" t="n"/>
      <c r="O91" s="364" t="n"/>
      <c r="P91" s="364" t="n"/>
      <c r="Q91" s="364" t="n"/>
      <c r="R91" s="364" t="n"/>
      <c r="S91" s="364" t="n"/>
      <c r="T91" s="364" t="n"/>
      <c r="U91" s="364" t="n"/>
      <c r="V91" s="364" t="n"/>
      <c r="W91" s="364" t="n"/>
      <c r="X91" s="364" t="n"/>
      <c r="Y91" s="364" t="n"/>
      <c r="Z91" s="364" t="n"/>
    </row>
    <row r="92">
      <c r="A92" s="364" t="n"/>
      <c r="B92" s="364" t="n"/>
      <c r="C92" s="364" t="n"/>
      <c r="D92" s="364" t="n"/>
      <c r="E92" s="364" t="n"/>
      <c r="F92" s="364" t="n"/>
      <c r="G92" s="364" t="n"/>
      <c r="H92" s="364" t="n"/>
      <c r="I92" s="364" t="n"/>
      <c r="J92" s="364" t="n"/>
      <c r="K92" s="364" t="n"/>
      <c r="L92" s="364" t="n"/>
      <c r="M92" s="364" t="n"/>
      <c r="N92" s="364" t="n"/>
      <c r="O92" s="364" t="n"/>
      <c r="P92" s="364" t="n"/>
      <c r="Q92" s="364" t="n"/>
      <c r="R92" s="364" t="n"/>
      <c r="S92" s="364" t="n"/>
      <c r="T92" s="364" t="n"/>
      <c r="U92" s="364" t="n"/>
      <c r="V92" s="364" t="n"/>
      <c r="W92" s="364" t="n"/>
      <c r="X92" s="364" t="n"/>
      <c r="Y92" s="364" t="n"/>
      <c r="Z92" s="364" t="n"/>
    </row>
    <row r="93">
      <c r="A93" s="364" t="n"/>
      <c r="B93" s="364" t="n"/>
      <c r="C93" s="364" t="n"/>
      <c r="D93" s="364" t="n"/>
      <c r="E93" s="364" t="n"/>
      <c r="F93" s="364" t="n"/>
      <c r="G93" s="364" t="n"/>
      <c r="H93" s="364" t="n"/>
      <c r="I93" s="364" t="n"/>
      <c r="J93" s="364" t="n"/>
      <c r="K93" s="364" t="n"/>
      <c r="L93" s="364" t="n"/>
      <c r="M93" s="364" t="n"/>
      <c r="N93" s="364" t="n"/>
      <c r="O93" s="364" t="n"/>
      <c r="P93" s="364" t="n"/>
      <c r="Q93" s="364" t="n"/>
      <c r="R93" s="364" t="n"/>
      <c r="S93" s="364" t="n"/>
      <c r="T93" s="364" t="n"/>
      <c r="U93" s="364" t="n"/>
      <c r="V93" s="364" t="n"/>
      <c r="W93" s="364" t="n"/>
      <c r="X93" s="364" t="n"/>
      <c r="Y93" s="364" t="n"/>
      <c r="Z93" s="364" t="n"/>
    </row>
    <row r="94">
      <c r="A94" s="364" t="n"/>
      <c r="B94" s="364" t="n"/>
      <c r="C94" s="364" t="n"/>
      <c r="D94" s="364" t="n"/>
      <c r="E94" s="364" t="n"/>
      <c r="F94" s="364" t="n"/>
      <c r="G94" s="364" t="n"/>
      <c r="H94" s="364" t="n"/>
      <c r="I94" s="364" t="n"/>
      <c r="J94" s="364" t="n"/>
      <c r="K94" s="364" t="n"/>
      <c r="L94" s="364" t="n"/>
      <c r="M94" s="364" t="n"/>
      <c r="N94" s="364" t="n"/>
      <c r="O94" s="364" t="n"/>
      <c r="P94" s="364" t="n"/>
      <c r="Q94" s="364" t="n"/>
      <c r="R94" s="364" t="n"/>
      <c r="S94" s="364" t="n"/>
      <c r="T94" s="364" t="n"/>
      <c r="U94" s="364" t="n"/>
      <c r="V94" s="364" t="n"/>
      <c r="W94" s="364" t="n"/>
      <c r="X94" s="364" t="n"/>
      <c r="Y94" s="364" t="n"/>
      <c r="Z94" s="364" t="n"/>
    </row>
    <row r="95">
      <c r="A95" s="364" t="n"/>
      <c r="B95" s="364" t="n"/>
      <c r="C95" s="364" t="n"/>
      <c r="D95" s="364" t="n"/>
      <c r="E95" s="364" t="n"/>
      <c r="F95" s="364" t="n"/>
      <c r="G95" s="364" t="n"/>
      <c r="H95" s="364" t="n"/>
      <c r="I95" s="364" t="n"/>
      <c r="J95" s="364" t="n"/>
      <c r="K95" s="364" t="n"/>
      <c r="L95" s="364" t="n"/>
      <c r="M95" s="364" t="n"/>
      <c r="N95" s="364" t="n"/>
      <c r="O95" s="364" t="n"/>
      <c r="P95" s="364" t="n"/>
      <c r="Q95" s="364" t="n"/>
      <c r="R95" s="364" t="n"/>
      <c r="S95" s="364" t="n"/>
      <c r="T95" s="364" t="n"/>
      <c r="U95" s="364" t="n"/>
      <c r="V95" s="364" t="n"/>
      <c r="W95" s="364" t="n"/>
      <c r="X95" s="364" t="n"/>
      <c r="Y95" s="364" t="n"/>
      <c r="Z95" s="364" t="n"/>
    </row>
    <row r="96">
      <c r="A96" s="364" t="n"/>
      <c r="B96" s="364" t="n"/>
      <c r="C96" s="364" t="n"/>
      <c r="D96" s="364" t="n"/>
      <c r="E96" s="364" t="n"/>
      <c r="F96" s="364" t="n"/>
      <c r="G96" s="364" t="n"/>
      <c r="H96" s="364" t="n"/>
      <c r="I96" s="364" t="n"/>
      <c r="J96" s="364" t="n"/>
      <c r="K96" s="364" t="n"/>
      <c r="L96" s="364" t="n"/>
      <c r="M96" s="364" t="n"/>
      <c r="N96" s="364" t="n"/>
      <c r="O96" s="364" t="n"/>
      <c r="P96" s="364" t="n"/>
      <c r="Q96" s="364" t="n"/>
      <c r="R96" s="364" t="n"/>
      <c r="S96" s="364" t="n"/>
      <c r="T96" s="364" t="n"/>
      <c r="U96" s="364" t="n"/>
      <c r="V96" s="364" t="n"/>
      <c r="W96" s="364" t="n"/>
      <c r="X96" s="364" t="n"/>
      <c r="Y96" s="364" t="n"/>
      <c r="Z96" s="364" t="n"/>
    </row>
    <row r="97">
      <c r="A97" s="364" t="n"/>
      <c r="B97" s="364" t="n"/>
      <c r="C97" s="364" t="n"/>
      <c r="D97" s="364" t="n"/>
      <c r="E97" s="364" t="n"/>
      <c r="F97" s="364" t="n"/>
      <c r="G97" s="364" t="n"/>
      <c r="H97" s="364" t="n"/>
      <c r="I97" s="364" t="n"/>
      <c r="J97" s="364" t="n"/>
      <c r="K97" s="364" t="n"/>
      <c r="L97" s="364" t="n"/>
      <c r="M97" s="364" t="n"/>
      <c r="N97" s="364" t="n"/>
      <c r="O97" s="364" t="n"/>
      <c r="P97" s="364" t="n"/>
      <c r="Q97" s="364" t="n"/>
      <c r="R97" s="364" t="n"/>
      <c r="S97" s="364" t="n"/>
      <c r="T97" s="364" t="n"/>
      <c r="U97" s="364" t="n"/>
      <c r="V97" s="364" t="n"/>
      <c r="W97" s="364" t="n"/>
      <c r="X97" s="364" t="n"/>
      <c r="Y97" s="364" t="n"/>
      <c r="Z97" s="364" t="n"/>
    </row>
    <row r="98">
      <c r="A98" s="364" t="n"/>
      <c r="B98" s="364" t="n"/>
      <c r="C98" s="364" t="n"/>
      <c r="D98" s="364" t="n"/>
      <c r="E98" s="364" t="n"/>
      <c r="F98" s="364" t="n"/>
      <c r="G98" s="364" t="n"/>
      <c r="H98" s="364" t="n"/>
      <c r="I98" s="364" t="n"/>
      <c r="J98" s="364" t="n"/>
      <c r="K98" s="364" t="n"/>
      <c r="L98" s="364" t="n"/>
      <c r="M98" s="364" t="n"/>
      <c r="N98" s="364" t="n"/>
      <c r="O98" s="364" t="n"/>
      <c r="P98" s="364" t="n"/>
      <c r="Q98" s="364" t="n"/>
      <c r="R98" s="364" t="n"/>
      <c r="S98" s="364" t="n"/>
      <c r="T98" s="364" t="n"/>
      <c r="U98" s="364" t="n"/>
      <c r="V98" s="364" t="n"/>
      <c r="W98" s="364" t="n"/>
      <c r="X98" s="364" t="n"/>
      <c r="Y98" s="364" t="n"/>
      <c r="Z98" s="364" t="n"/>
    </row>
    <row r="99">
      <c r="A99" s="364" t="n"/>
      <c r="B99" s="364" t="n"/>
      <c r="C99" s="364" t="n"/>
      <c r="D99" s="364" t="n"/>
      <c r="E99" s="364" t="n"/>
      <c r="F99" s="364" t="n"/>
      <c r="G99" s="364" t="n"/>
      <c r="H99" s="364" t="n"/>
      <c r="I99" s="364" t="n"/>
      <c r="J99" s="364" t="n"/>
      <c r="K99" s="364" t="n"/>
      <c r="L99" s="364" t="n"/>
      <c r="M99" s="364" t="n"/>
      <c r="N99" s="364" t="n"/>
      <c r="O99" s="364" t="n"/>
      <c r="P99" s="364" t="n"/>
      <c r="Q99" s="364" t="n"/>
      <c r="R99" s="364" t="n"/>
      <c r="S99" s="364" t="n"/>
      <c r="T99" s="364" t="n"/>
      <c r="U99" s="364" t="n"/>
      <c r="V99" s="364" t="n"/>
      <c r="W99" s="364" t="n"/>
      <c r="X99" s="364" t="n"/>
      <c r="Y99" s="364" t="n"/>
      <c r="Z99" s="364" t="n"/>
    </row>
    <row r="100">
      <c r="A100" s="364" t="n"/>
      <c r="B100" s="364" t="n"/>
      <c r="C100" s="364" t="n"/>
      <c r="D100" s="364" t="n"/>
      <c r="E100" s="364" t="n"/>
      <c r="F100" s="364" t="n"/>
      <c r="G100" s="364" t="n"/>
      <c r="H100" s="364" t="n"/>
      <c r="I100" s="364" t="n"/>
      <c r="J100" s="364" t="n"/>
      <c r="K100" s="364" t="n"/>
      <c r="L100" s="364" t="n"/>
      <c r="M100" s="364" t="n"/>
      <c r="N100" s="364" t="n"/>
      <c r="O100" s="364" t="n"/>
      <c r="P100" s="364" t="n"/>
      <c r="Q100" s="364" t="n"/>
      <c r="R100" s="364" t="n"/>
      <c r="S100" s="364" t="n"/>
      <c r="T100" s="364" t="n"/>
      <c r="U100" s="364" t="n"/>
      <c r="V100" s="364" t="n"/>
      <c r="W100" s="364" t="n"/>
      <c r="X100" s="364" t="n"/>
      <c r="Y100" s="364" t="n"/>
      <c r="Z100" s="364" t="n"/>
    </row>
  </sheetData>
  <mergeCells count="4">
    <mergeCell ref="A1:D1"/>
    <mergeCell ref="A2:D2"/>
    <mergeCell ref="A4:D4"/>
    <mergeCell ref="A14:D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2026-06-20T01:20:18Z</dcterms:created>
  <dcterms:modified xmlns:dcterms="http://purl.org/dc/terms/" xmlns:xsi="http://www.w3.org/2001/XMLSchema-instance" xsi:type="dcterms:W3CDTF">2026-06-20T01:20:18Z</dcterms:modified>
</cp:coreProperties>
</file>